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ZhangDnnnnnnm\Downloads\"/>
    </mc:Choice>
  </mc:AlternateContent>
  <xr:revisionPtr revIDLastSave="0" documentId="13_ncr:1_{12FC4007-AC5B-4042-B2A7-36D6AA04CDE7}" xr6:coauthVersionLast="47" xr6:coauthVersionMax="47" xr10:uidLastSave="{00000000-0000-0000-0000-000000000000}"/>
  <bookViews>
    <workbookView xWindow="-110" yWindow="-110" windowWidth="22620" windowHeight="13620" activeTab="10" xr2:uid="{00000000-000D-0000-FFFF-FFFF00000000}"/>
  </bookViews>
  <sheets>
    <sheet name="2类1" sheetId="3" r:id="rId1"/>
    <sheet name="2类2" sheetId="4" r:id="rId2"/>
    <sheet name="3类1" sheetId="5" r:id="rId3"/>
    <sheet name="3类2" sheetId="6" r:id="rId4"/>
    <sheet name="3类3" sheetId="7" r:id="rId5"/>
    <sheet name="4类" sheetId="8" r:id="rId6"/>
    <sheet name="5类" sheetId="9" r:id="rId7"/>
    <sheet name="7类" sheetId="10" r:id="rId8"/>
    <sheet name="9类1" sheetId="11" r:id="rId9"/>
    <sheet name="9类2" sheetId="12" r:id="rId10"/>
    <sheet name="10类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0" i="13" l="1"/>
  <c r="E40" i="13"/>
  <c r="D40" i="13"/>
  <c r="C40" i="13"/>
  <c r="H22" i="13"/>
  <c r="G22" i="13"/>
  <c r="H21" i="13"/>
  <c r="G21" i="13"/>
  <c r="H20" i="13"/>
  <c r="G20" i="13"/>
  <c r="H19" i="13"/>
  <c r="G19" i="13"/>
  <c r="H18" i="13"/>
  <c r="G18" i="13"/>
  <c r="H17" i="13"/>
  <c r="G17" i="13"/>
  <c r="H16" i="13"/>
  <c r="G16" i="13"/>
  <c r="H15" i="13"/>
  <c r="G15" i="13"/>
  <c r="H14" i="13"/>
  <c r="G14" i="13"/>
  <c r="H13" i="13"/>
  <c r="G13" i="13"/>
  <c r="H12" i="13"/>
  <c r="G12" i="13"/>
  <c r="H11" i="13"/>
  <c r="G11" i="13"/>
  <c r="H10" i="13"/>
  <c r="G10" i="13"/>
  <c r="H9" i="13"/>
  <c r="G9" i="13"/>
  <c r="H8" i="13"/>
  <c r="G8" i="13"/>
  <c r="H7" i="13"/>
  <c r="G7" i="13"/>
  <c r="H6" i="13"/>
  <c r="G6" i="13"/>
  <c r="H5" i="13"/>
  <c r="G5" i="13"/>
  <c r="H4" i="13"/>
  <c r="G4" i="13"/>
  <c r="H3" i="13"/>
  <c r="G3" i="13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43" i="9"/>
  <c r="H42" i="9"/>
  <c r="H41" i="9"/>
  <c r="H39" i="9"/>
  <c r="H38" i="9"/>
  <c r="H37" i="9"/>
  <c r="H36" i="9"/>
  <c r="H35" i="9"/>
  <c r="H34" i="9"/>
  <c r="H33" i="9"/>
  <c r="H32" i="9"/>
  <c r="H31" i="9"/>
  <c r="H29" i="9"/>
  <c r="H28" i="9"/>
  <c r="H27" i="9"/>
  <c r="H26" i="9"/>
  <c r="H25" i="9"/>
  <c r="H24" i="9"/>
  <c r="H23" i="9"/>
  <c r="H22" i="9"/>
  <c r="H21" i="9"/>
  <c r="H20" i="9"/>
  <c r="H19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I45" i="8"/>
  <c r="I44" i="8"/>
  <c r="I43" i="8"/>
  <c r="I42" i="8"/>
  <c r="I41" i="8"/>
  <c r="I40" i="8"/>
  <c r="I39" i="8"/>
  <c r="I38" i="8"/>
  <c r="I37" i="8"/>
  <c r="I36" i="8"/>
  <c r="I35" i="8"/>
  <c r="I32" i="8"/>
  <c r="I31" i="8"/>
  <c r="I30" i="8"/>
  <c r="I29" i="8"/>
  <c r="I28" i="8"/>
  <c r="I27" i="8"/>
  <c r="I26" i="8"/>
  <c r="I24" i="8"/>
  <c r="I23" i="8"/>
  <c r="I22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H53" i="7"/>
  <c r="H52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4" i="7"/>
  <c r="H3" i="7"/>
  <c r="H38" i="6"/>
  <c r="H37" i="6"/>
  <c r="H36" i="6"/>
  <c r="H35" i="6"/>
  <c r="H34" i="6"/>
  <c r="H33" i="6"/>
  <c r="H31" i="6"/>
  <c r="H30" i="6"/>
  <c r="H29" i="6"/>
  <c r="H28" i="6"/>
  <c r="H27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7" i="6"/>
  <c r="H6" i="6"/>
  <c r="H5" i="6"/>
  <c r="H4" i="6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H37" i="3"/>
  <c r="I37" i="3" s="1"/>
  <c r="H36" i="3"/>
  <c r="I36" i="3" s="1"/>
  <c r="H34" i="3"/>
  <c r="I34" i="3" s="1"/>
  <c r="H33" i="3"/>
  <c r="I33" i="3" s="1"/>
  <c r="H32" i="3"/>
  <c r="I32" i="3" s="1"/>
  <c r="H31" i="3"/>
  <c r="I31" i="3" s="1"/>
  <c r="H30" i="3"/>
  <c r="I30" i="3" s="1"/>
  <c r="H29" i="3"/>
  <c r="I29" i="3" s="1"/>
  <c r="H28" i="3"/>
  <c r="I28" i="3" s="1"/>
  <c r="H27" i="3"/>
  <c r="I27" i="3" s="1"/>
  <c r="H26" i="3"/>
  <c r="I26" i="3" s="1"/>
  <c r="H25" i="3"/>
  <c r="I25" i="3" s="1"/>
  <c r="H24" i="3"/>
  <c r="I24" i="3" s="1"/>
  <c r="H23" i="3"/>
  <c r="I23" i="3" s="1"/>
  <c r="H22" i="3"/>
  <c r="I22" i="3" s="1"/>
  <c r="H21" i="3"/>
  <c r="I21" i="3" s="1"/>
  <c r="H20" i="3"/>
  <c r="I20" i="3" s="1"/>
  <c r="H19" i="3"/>
  <c r="I19" i="3" s="1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H8" i="3"/>
  <c r="I8" i="3" s="1"/>
  <c r="H7" i="3"/>
  <c r="I7" i="3" s="1"/>
  <c r="H6" i="3"/>
  <c r="I6" i="3" s="1"/>
  <c r="H5" i="3"/>
  <c r="I5" i="3" s="1"/>
  <c r="H4" i="3"/>
  <c r="I4" i="3" s="1"/>
  <c r="H3" i="3"/>
  <c r="H40" i="13" l="1"/>
  <c r="G40" i="13"/>
  <c r="B40" i="13"/>
  <c r="B41" i="13" s="1"/>
  <c r="I3" i="3"/>
</calcChain>
</file>

<file path=xl/sharedStrings.xml><?xml version="1.0" encoding="utf-8"?>
<sst xmlns="http://schemas.openxmlformats.org/spreadsheetml/2006/main" count="666" uniqueCount="401">
  <si>
    <t>姓名</t>
  </si>
  <si>
    <t>韩桢祥</t>
  </si>
  <si>
    <t>王晔茜</t>
  </si>
  <si>
    <t>王桠狄</t>
  </si>
  <si>
    <t>请假</t>
  </si>
  <si>
    <t>高楚丰</t>
  </si>
  <si>
    <t xml:space="preserve">贺鑫 </t>
  </si>
  <si>
    <t>李朋健</t>
  </si>
  <si>
    <t>徐新锐</t>
  </si>
  <si>
    <t>穆浩然</t>
  </si>
  <si>
    <t>杨洪基</t>
  </si>
  <si>
    <t>张佳乐</t>
  </si>
  <si>
    <t>张奥博</t>
  </si>
  <si>
    <t>张绍凡</t>
  </si>
  <si>
    <t>郭嘉</t>
  </si>
  <si>
    <t>贾云泽</t>
  </si>
  <si>
    <t>梁雪康</t>
  </si>
  <si>
    <t>陈立凯</t>
  </si>
  <si>
    <t>王振宇</t>
  </si>
  <si>
    <t>安明</t>
  </si>
  <si>
    <t>刘礼豪</t>
  </si>
  <si>
    <t>张梓鹏</t>
  </si>
  <si>
    <t>张国雨</t>
  </si>
  <si>
    <t>杜柏宣</t>
  </si>
  <si>
    <t>胡佳硕</t>
  </si>
  <si>
    <t>张栩畅</t>
  </si>
  <si>
    <t>李浩谦</t>
  </si>
  <si>
    <t>左海博</t>
  </si>
  <si>
    <t>韩晓毓</t>
  </si>
  <si>
    <t>王锦旭</t>
  </si>
  <si>
    <t>周睿璇</t>
  </si>
  <si>
    <t>刘潇贺</t>
  </si>
  <si>
    <t>冯业伦</t>
  </si>
  <si>
    <t>杨天轶</t>
  </si>
  <si>
    <t>马圣翔</t>
  </si>
  <si>
    <t>王涛</t>
  </si>
  <si>
    <t>潘则序</t>
  </si>
  <si>
    <t>李姝慧</t>
  </si>
  <si>
    <t>假</t>
  </si>
  <si>
    <t>刘家豪</t>
  </si>
  <si>
    <t>魏元昊</t>
  </si>
  <si>
    <t>朱信睿</t>
  </si>
  <si>
    <t>张雯婷</t>
  </si>
  <si>
    <t>王雨轩</t>
  </si>
  <si>
    <t>程华栋</t>
  </si>
  <si>
    <t>孟子栋</t>
  </si>
  <si>
    <t>李俊逸</t>
  </si>
  <si>
    <t>高雨桐</t>
  </si>
  <si>
    <t>黄俊皓</t>
  </si>
  <si>
    <t>李煜杰</t>
  </si>
  <si>
    <t>于子航</t>
  </si>
  <si>
    <t>刘博坤</t>
  </si>
  <si>
    <t>赵苑哲</t>
  </si>
  <si>
    <t>王百钦</t>
  </si>
  <si>
    <t>辛悦豪</t>
  </si>
  <si>
    <t>高聚盛</t>
  </si>
  <si>
    <t>赵朝运</t>
  </si>
  <si>
    <t>闫文博</t>
  </si>
  <si>
    <t>韩钧宇</t>
  </si>
  <si>
    <t>吴博</t>
  </si>
  <si>
    <t>李达</t>
  </si>
  <si>
    <t>田旭</t>
  </si>
  <si>
    <t>陈枷程</t>
  </si>
  <si>
    <t>张子豪</t>
  </si>
  <si>
    <t>陈继博</t>
  </si>
  <si>
    <t>贵淼祺</t>
  </si>
  <si>
    <t>樊奥</t>
  </si>
  <si>
    <t>刘子豪</t>
  </si>
  <si>
    <t>张雯硕</t>
  </si>
  <si>
    <t>刘子一</t>
  </si>
  <si>
    <t>高阳</t>
  </si>
  <si>
    <t>奚志远</t>
  </si>
  <si>
    <t>尹世杰</t>
  </si>
  <si>
    <t>张哲</t>
  </si>
  <si>
    <t>郝士元</t>
  </si>
  <si>
    <t>赵尘</t>
  </si>
  <si>
    <t>叶明杰</t>
  </si>
  <si>
    <t>李鑫泽</t>
  </si>
  <si>
    <t>张帅</t>
  </si>
  <si>
    <t>张超</t>
  </si>
  <si>
    <t>韩鹏旭</t>
  </si>
  <si>
    <t>赵博旭</t>
  </si>
  <si>
    <t>周瑞博</t>
  </si>
  <si>
    <t>桑圆圆</t>
  </si>
  <si>
    <t>马成志</t>
  </si>
  <si>
    <t>袁梦</t>
  </si>
  <si>
    <t>陈佳旭</t>
  </si>
  <si>
    <t>王艺谋</t>
  </si>
  <si>
    <t>刘雨哲</t>
  </si>
  <si>
    <t>刘昌靖烨</t>
  </si>
  <si>
    <t>王皓</t>
  </si>
  <si>
    <t>闫凯文</t>
  </si>
  <si>
    <t>康子默</t>
  </si>
  <si>
    <t>边培淼</t>
  </si>
  <si>
    <t>郭秦豪</t>
  </si>
  <si>
    <t>刘凯力</t>
  </si>
  <si>
    <t>任鑫乐</t>
  </si>
  <si>
    <t>王智博</t>
  </si>
  <si>
    <t>王震</t>
  </si>
  <si>
    <t>高嘉烨</t>
  </si>
  <si>
    <t>蔡旭</t>
  </si>
  <si>
    <t>李梓锋</t>
  </si>
  <si>
    <t>周钰杰</t>
  </si>
  <si>
    <t>张子铄</t>
  </si>
  <si>
    <t>王英轩</t>
  </si>
  <si>
    <t>雷腾宇</t>
  </si>
  <si>
    <t>郭梓栋</t>
  </si>
  <si>
    <t>杜依豪</t>
  </si>
  <si>
    <t>王子健</t>
  </si>
  <si>
    <t>孔赛浦</t>
  </si>
  <si>
    <t>边裕桁</t>
  </si>
  <si>
    <t>贾皓天</t>
  </si>
  <si>
    <t>张昊宇</t>
  </si>
  <si>
    <t>白杰</t>
  </si>
  <si>
    <t>张家宁</t>
  </si>
  <si>
    <t>尹新华</t>
  </si>
  <si>
    <t>李金阳</t>
  </si>
  <si>
    <t>邓佳鹏</t>
  </si>
  <si>
    <t>申书铭</t>
  </si>
  <si>
    <t>许宗鑫</t>
  </si>
  <si>
    <t>梁昊哲</t>
  </si>
  <si>
    <t>卢袁宏硕</t>
  </si>
  <si>
    <t>王腾辉</t>
  </si>
  <si>
    <t>张烜齐</t>
  </si>
  <si>
    <t>崔奥辉</t>
  </si>
  <si>
    <t>袁沐</t>
  </si>
  <si>
    <t>杨献一</t>
  </si>
  <si>
    <t>裴宇康</t>
  </si>
  <si>
    <t>梁增超</t>
  </si>
  <si>
    <t>冯铭硕</t>
  </si>
  <si>
    <t>张奥伦</t>
  </si>
  <si>
    <t>贾月涛</t>
  </si>
  <si>
    <t>王烁鑫</t>
  </si>
  <si>
    <t>何康健</t>
  </si>
  <si>
    <t>李昊楠</t>
  </si>
  <si>
    <t>王祥宇</t>
  </si>
  <si>
    <t>王浩哲</t>
  </si>
  <si>
    <t>刘佳璇</t>
  </si>
  <si>
    <t>田子正</t>
  </si>
  <si>
    <t>田子佳</t>
  </si>
  <si>
    <t>李文楷</t>
  </si>
  <si>
    <t>王紫檀</t>
  </si>
  <si>
    <t>王博涛</t>
  </si>
  <si>
    <t>李正奥</t>
  </si>
  <si>
    <t>王奥</t>
  </si>
  <si>
    <t>李超</t>
  </si>
  <si>
    <t>陈熙</t>
  </si>
  <si>
    <t>张一鸣</t>
  </si>
  <si>
    <t>张雨琪</t>
  </si>
  <si>
    <t>邵诗杭</t>
  </si>
  <si>
    <t>缴良勇</t>
  </si>
  <si>
    <t>王梓凡</t>
  </si>
  <si>
    <t>8班</t>
  </si>
  <si>
    <t>陶嘉拓</t>
  </si>
  <si>
    <t>白金和</t>
  </si>
  <si>
    <t>左桓宇</t>
  </si>
  <si>
    <t>翟少博</t>
  </si>
  <si>
    <t>王喧迪</t>
  </si>
  <si>
    <t>邹梦驰</t>
  </si>
  <si>
    <t>张士吉</t>
  </si>
  <si>
    <t>高煜泰</t>
  </si>
  <si>
    <t>任舒凡</t>
  </si>
  <si>
    <t>王照峰</t>
  </si>
  <si>
    <t>朱俣臣</t>
  </si>
  <si>
    <t>梁不凡</t>
  </si>
  <si>
    <t>张丁硕</t>
  </si>
  <si>
    <t>高岩松</t>
  </si>
  <si>
    <t>赵祈智</t>
  </si>
  <si>
    <t>谷鹏宇</t>
  </si>
  <si>
    <t>王浩宇</t>
  </si>
  <si>
    <t>卢文彬</t>
  </si>
  <si>
    <t>张昊祺</t>
  </si>
  <si>
    <t>刘国强</t>
  </si>
  <si>
    <t>张昊天</t>
  </si>
  <si>
    <t>王界彬</t>
  </si>
  <si>
    <t>张子明</t>
  </si>
  <si>
    <t>陈一帆</t>
  </si>
  <si>
    <t>么闯</t>
  </si>
  <si>
    <t>张雨祥</t>
  </si>
  <si>
    <t>董嘉哲</t>
  </si>
  <si>
    <t>王艺博</t>
  </si>
  <si>
    <t>谢宇炫</t>
  </si>
  <si>
    <t>刘金奥</t>
  </si>
  <si>
    <t>袁欣远</t>
  </si>
  <si>
    <t>白康鑫</t>
  </si>
  <si>
    <t>王琦维</t>
  </si>
  <si>
    <t>路日荣</t>
  </si>
  <si>
    <t>潘运良</t>
  </si>
  <si>
    <t>韩佳文</t>
  </si>
  <si>
    <t>苏欣怡</t>
  </si>
  <si>
    <t>杨钰楠</t>
  </si>
  <si>
    <t>未学未考</t>
  </si>
  <si>
    <t>卢姿瑄</t>
  </si>
  <si>
    <t>伊笑萌</t>
  </si>
  <si>
    <t>王奥琦</t>
  </si>
  <si>
    <t>陶煊</t>
  </si>
  <si>
    <t>常凯辉</t>
  </si>
  <si>
    <t>赵彦博</t>
  </si>
  <si>
    <t>程子涵</t>
  </si>
  <si>
    <t>高莫涵</t>
  </si>
  <si>
    <t>董秭成</t>
  </si>
  <si>
    <t>宋帛京</t>
  </si>
  <si>
    <t>吴忱洋</t>
  </si>
  <si>
    <t>刘羽俊</t>
  </si>
  <si>
    <t>孟雨萱</t>
  </si>
  <si>
    <t>曹奥可</t>
  </si>
  <si>
    <t>张家钿</t>
  </si>
  <si>
    <t>韩宸睿</t>
  </si>
  <si>
    <t>王亚萱</t>
  </si>
  <si>
    <t>张曜麒</t>
  </si>
  <si>
    <t>张雨轩</t>
  </si>
  <si>
    <t>张笑荣</t>
  </si>
  <si>
    <t>李蒙爱</t>
  </si>
  <si>
    <t>梁恩琪</t>
  </si>
  <si>
    <t>曹潇可</t>
  </si>
  <si>
    <t>任依梦</t>
  </si>
  <si>
    <r>
      <rPr>
        <sz val="11"/>
        <color rgb="FF000000"/>
        <rFont val="宋体"/>
        <charset val="134"/>
      </rPr>
      <t>王佳茵</t>
    </r>
    <r>
      <rPr>
        <sz val="11"/>
        <color rgb="FF000000"/>
        <rFont val="宋体"/>
        <charset val="134"/>
      </rPr>
      <t xml:space="preserve"> </t>
    </r>
  </si>
  <si>
    <t>张少柔</t>
  </si>
  <si>
    <t>李冰鑫</t>
  </si>
  <si>
    <t>侯志韬</t>
  </si>
  <si>
    <t>张迪航</t>
  </si>
  <si>
    <t>杨东旭</t>
  </si>
  <si>
    <t>卢奥轩</t>
  </si>
  <si>
    <t>刘倩</t>
  </si>
  <si>
    <t>彭伊轩</t>
  </si>
  <si>
    <t>王志宇</t>
  </si>
  <si>
    <t>王晓媛</t>
  </si>
  <si>
    <t>边梦梵</t>
  </si>
  <si>
    <t>苏康特</t>
  </si>
  <si>
    <t>刘政玮</t>
  </si>
  <si>
    <t>赵婧轩</t>
  </si>
  <si>
    <t>冯柯钊</t>
  </si>
  <si>
    <t>周艾钶</t>
  </si>
  <si>
    <t>明正辉</t>
  </si>
  <si>
    <t>贺子坤</t>
  </si>
  <si>
    <t>侯亚武</t>
  </si>
  <si>
    <t>高嘉婕</t>
  </si>
  <si>
    <t>刘振威</t>
  </si>
  <si>
    <t>刘子聚</t>
  </si>
  <si>
    <t>王佳琦</t>
  </si>
  <si>
    <t>王晨宇</t>
  </si>
  <si>
    <t>梁馨宇</t>
  </si>
  <si>
    <t>付彬朔</t>
  </si>
  <si>
    <t>程浩楠</t>
  </si>
  <si>
    <t>杜鸣轩</t>
  </si>
  <si>
    <t>徐梓妍</t>
  </si>
  <si>
    <t>闫嘉熙</t>
  </si>
  <si>
    <t>高天月</t>
  </si>
  <si>
    <t>张静雯</t>
  </si>
  <si>
    <t>李学倩</t>
  </si>
  <si>
    <t>张腾瑜</t>
  </si>
  <si>
    <t>齐锦灿</t>
  </si>
  <si>
    <t>王钰涵</t>
  </si>
  <si>
    <t>井腾达</t>
  </si>
  <si>
    <t>孙东莹</t>
  </si>
  <si>
    <t>边梦雪</t>
  </si>
  <si>
    <t>何丽萱</t>
  </si>
  <si>
    <t>李紫帆</t>
  </si>
  <si>
    <t>郝润铖</t>
  </si>
  <si>
    <t>张恩权</t>
  </si>
  <si>
    <t>王嘉豪</t>
  </si>
  <si>
    <t>姚英菲</t>
  </si>
  <si>
    <t>田德一</t>
  </si>
  <si>
    <t>李鹏羽</t>
  </si>
  <si>
    <t>郭奥林</t>
  </si>
  <si>
    <t>孙一森</t>
  </si>
  <si>
    <t>王梓奥</t>
  </si>
  <si>
    <t>刘勃言</t>
  </si>
  <si>
    <t>张欣怡</t>
  </si>
  <si>
    <t>刘子玥</t>
  </si>
  <si>
    <t>宋旭涵</t>
  </si>
  <si>
    <t>李佳怡</t>
  </si>
  <si>
    <t>胡贺淇</t>
  </si>
  <si>
    <t>张怡特</t>
  </si>
  <si>
    <t>王柯壹</t>
  </si>
  <si>
    <t>黄晓阳</t>
  </si>
  <si>
    <t>李晓宇</t>
  </si>
  <si>
    <t>郑锦潞</t>
  </si>
  <si>
    <t>韩镇宇</t>
  </si>
  <si>
    <t>袁宏业</t>
  </si>
  <si>
    <t>左婷</t>
  </si>
  <si>
    <t>李颍</t>
  </si>
  <si>
    <t>魏紫涵</t>
  </si>
  <si>
    <t>闫菊</t>
  </si>
  <si>
    <t>宋治强</t>
  </si>
  <si>
    <t>李梓菡</t>
  </si>
  <si>
    <t>武子甜</t>
  </si>
  <si>
    <t>王嘉妮</t>
  </si>
  <si>
    <t>冀文博</t>
  </si>
  <si>
    <t>陶小宇</t>
  </si>
  <si>
    <t>王佳怡</t>
  </si>
  <si>
    <t>陈佳雪</t>
  </si>
  <si>
    <t>李佳蔚</t>
  </si>
  <si>
    <t>刘宸杰</t>
  </si>
  <si>
    <t>刘梦怡</t>
  </si>
  <si>
    <t>孙文静</t>
  </si>
  <si>
    <t>岳东雪</t>
  </si>
  <si>
    <t>赵鑫延</t>
  </si>
  <si>
    <t>王姿桐</t>
  </si>
  <si>
    <t>于子捷</t>
  </si>
  <si>
    <t>崔宇晗</t>
  </si>
  <si>
    <t>朱岩</t>
  </si>
  <si>
    <t>智思诺</t>
  </si>
  <si>
    <t>智涵艺</t>
  </si>
  <si>
    <t>赵曼雅</t>
  </si>
  <si>
    <t>张依依</t>
  </si>
  <si>
    <t>张亚楠</t>
  </si>
  <si>
    <t>张若凡</t>
  </si>
  <si>
    <t>张铠麒</t>
  </si>
  <si>
    <t>游伊诺</t>
  </si>
  <si>
    <t>徐晓阳</t>
  </si>
  <si>
    <t>夏梦琪</t>
  </si>
  <si>
    <t>魏雨欣</t>
  </si>
  <si>
    <t>宋冰树</t>
  </si>
  <si>
    <t>齐军肖</t>
  </si>
  <si>
    <t>齐浩森</t>
  </si>
  <si>
    <t>刘倪轩</t>
  </si>
  <si>
    <t>刘建桃</t>
  </si>
  <si>
    <t>李玮璇</t>
  </si>
  <si>
    <t>李伟刚</t>
  </si>
  <si>
    <t>李思琦</t>
  </si>
  <si>
    <t>李静文</t>
  </si>
  <si>
    <t>贾泽华</t>
  </si>
  <si>
    <t>贾耀梁</t>
  </si>
  <si>
    <t>韩钰菲</t>
  </si>
  <si>
    <t>韩冰亮</t>
  </si>
  <si>
    <t>郭子涵</t>
  </si>
  <si>
    <t>高可馨</t>
  </si>
  <si>
    <t>杜怡杰</t>
  </si>
  <si>
    <t>陈明依</t>
  </si>
  <si>
    <t>于浩东</t>
  </si>
  <si>
    <t>朱子歌</t>
  </si>
  <si>
    <t>陈艳</t>
  </si>
  <si>
    <t>郜昕怡</t>
  </si>
  <si>
    <t>高祯汝</t>
  </si>
  <si>
    <t>赵天佳</t>
  </si>
  <si>
    <t>吴博瀚</t>
  </si>
  <si>
    <t>贾博鑫</t>
  </si>
  <si>
    <t>孟鸿瑞</t>
  </si>
  <si>
    <t>逯佳琪</t>
  </si>
  <si>
    <t>刘哲欣</t>
  </si>
  <si>
    <t>邢云责</t>
  </si>
  <si>
    <t>张家齐</t>
  </si>
  <si>
    <t>苑茵溥</t>
  </si>
  <si>
    <t>贾紫雯</t>
  </si>
  <si>
    <t>杨紫情</t>
  </si>
  <si>
    <t>杨宇轩</t>
  </si>
  <si>
    <t>魏晨曦</t>
  </si>
  <si>
    <t>王科尧</t>
  </si>
  <si>
    <t>孙雨泽</t>
  </si>
  <si>
    <t>武思羽</t>
  </si>
  <si>
    <t>唐子寒</t>
  </si>
  <si>
    <t>张博涵</t>
  </si>
  <si>
    <t>王磊</t>
  </si>
  <si>
    <t>刘梦冉</t>
  </si>
  <si>
    <t>孙艺闪</t>
  </si>
  <si>
    <t>陈亚楠</t>
  </si>
  <si>
    <t>崔一航</t>
  </si>
  <si>
    <t>张梓暄</t>
  </si>
  <si>
    <t>王雨彤</t>
  </si>
  <si>
    <t>董笑凝</t>
  </si>
  <si>
    <t>贾妍熙</t>
  </si>
  <si>
    <t>罗晓旸</t>
  </si>
  <si>
    <t>乔陆婧</t>
  </si>
  <si>
    <t>张雯慧</t>
  </si>
  <si>
    <t>高旭雯</t>
  </si>
  <si>
    <t>陈娟</t>
  </si>
  <si>
    <t>裘佩霖</t>
  </si>
  <si>
    <t>贾雨锟</t>
  </si>
  <si>
    <t>智若熙</t>
  </si>
  <si>
    <t>张佑晗</t>
  </si>
  <si>
    <t>语文（100）</t>
    <phoneticPr fontId="8" type="noConversion"/>
  </si>
  <si>
    <t>数学（100）</t>
    <phoneticPr fontId="8" type="noConversion"/>
  </si>
  <si>
    <t>英语（100）</t>
    <phoneticPr fontId="8" type="noConversion"/>
  </si>
  <si>
    <t>物理（60）</t>
    <phoneticPr fontId="8" type="noConversion"/>
  </si>
  <si>
    <t>化学（45）</t>
    <phoneticPr fontId="8" type="noConversion"/>
  </si>
  <si>
    <t>地理（45）</t>
    <phoneticPr fontId="8" type="noConversion"/>
  </si>
  <si>
    <t>职测总分（150）</t>
    <phoneticPr fontId="8" type="noConversion"/>
  </si>
  <si>
    <t>总分（450）</t>
    <phoneticPr fontId="8" type="noConversion"/>
  </si>
  <si>
    <t>9.19周测</t>
    <phoneticPr fontId="8" type="noConversion"/>
  </si>
  <si>
    <t>9.19周测</t>
    <phoneticPr fontId="10" type="noConversion"/>
  </si>
  <si>
    <t>语文（100）</t>
    <phoneticPr fontId="10" type="noConversion"/>
  </si>
  <si>
    <t>数学（100）</t>
    <phoneticPr fontId="10" type="noConversion"/>
  </si>
  <si>
    <t>信息技术（100）</t>
    <phoneticPr fontId="10" type="noConversion"/>
  </si>
  <si>
    <t>物理（105）</t>
    <phoneticPr fontId="10" type="noConversion"/>
  </si>
  <si>
    <t>政治（45）</t>
    <phoneticPr fontId="10" type="noConversion"/>
  </si>
  <si>
    <t>总分（450）</t>
    <phoneticPr fontId="10" type="noConversion"/>
  </si>
  <si>
    <t>职测总分（150）</t>
    <phoneticPr fontId="10" type="noConversion"/>
  </si>
  <si>
    <t>英语（100）</t>
    <phoneticPr fontId="10" type="noConversion"/>
  </si>
  <si>
    <t>化学（60）</t>
    <phoneticPr fontId="10" type="noConversion"/>
  </si>
  <si>
    <t>生物（60）</t>
    <phoneticPr fontId="10" type="noConversion"/>
  </si>
  <si>
    <t>政治（30）</t>
    <phoneticPr fontId="10" type="noConversion"/>
  </si>
  <si>
    <t>地理（100）</t>
    <phoneticPr fontId="10" type="noConversion"/>
  </si>
  <si>
    <t>历史(90)</t>
    <phoneticPr fontId="10" type="noConversion"/>
  </si>
  <si>
    <t>政治(60)</t>
    <phoneticPr fontId="10" type="noConversion"/>
  </si>
  <si>
    <t>化学（90）</t>
    <phoneticPr fontId="10" type="noConversion"/>
  </si>
  <si>
    <t>总分（750）</t>
    <phoneticPr fontId="10" type="noConversion"/>
  </si>
  <si>
    <t>政治（100）</t>
    <phoneticPr fontId="10" type="noConversion"/>
  </si>
  <si>
    <t>信息技术（90）</t>
    <phoneticPr fontId="10" type="noConversion"/>
  </si>
  <si>
    <t>历史（60）</t>
    <phoneticPr fontId="10" type="noConversion"/>
  </si>
  <si>
    <t>物理（60）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</si>
</sst>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2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</font>
    <font>
      <sz val="9"/>
      <name val="微软雅黑"/>
      <charset val="134"/>
    </font>
    <font>
      <sz val="10"/>
      <color rgb="FF000000"/>
      <name val="微软雅黑"/>
      <family val="2"/>
      <charset val="134"/>
    </font>
    <font>
      <sz val="9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rgb="FF000000"/>
      <name val="宋体"/>
      <family val="3"/>
      <charset val="134"/>
    </font>
    <font>
      <sz val="12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5B2E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ECB28B"/>
        <bgColor indexed="64"/>
      </patternFill>
    </fill>
    <fill>
      <patternFill patternType="solid">
        <fgColor rgb="FFFEF1D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/>
    </xf>
    <xf numFmtId="0" fontId="9" fillId="11" borderId="9" xfId="0" applyFont="1" applyFill="1" applyBorder="1" applyAlignment="1">
      <alignment horizontal="center" vertical="center"/>
    </xf>
    <xf numFmtId="0" fontId="11" fillId="12" borderId="9" xfId="0" applyFont="1" applyFill="1" applyBorder="1" applyAlignment="1">
      <alignment horizontal="center" vertical="center"/>
    </xf>
    <xf numFmtId="0" fontId="12" fillId="13" borderId="9" xfId="0" applyFont="1" applyFill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0" fontId="9" fillId="15" borderId="9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2" fillId="0" borderId="9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2" fillId="0" borderId="8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9" fillId="0" borderId="7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vertical="center"/>
    </xf>
    <xf numFmtId="0" fontId="14" fillId="6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Y37"/>
  <sheetViews>
    <sheetView zoomScale="130" zoomScaleNormal="13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28.15234375" defaultRowHeight="14.5" x14ac:dyDescent="0.45"/>
  <cols>
    <col min="1" max="1" width="6.15234375" style="28" bestFit="1" customWidth="1"/>
    <col min="2" max="4" width="10" style="1" bestFit="1" customWidth="1"/>
    <col min="5" max="5" width="9.07421875" style="1" bestFit="1" customWidth="1"/>
    <col min="6" max="7" width="9.53515625" style="1" bestFit="1" customWidth="1"/>
    <col min="8" max="8" width="13.3046875" style="1" bestFit="1" customWidth="1"/>
    <col min="9" max="9" width="10" style="1" bestFit="1" customWidth="1"/>
    <col min="10" max="16379" width="28.15234375" style="1"/>
    <col min="16380" max="16384" width="28.15234375" style="29"/>
  </cols>
  <sheetData>
    <row r="1" spans="1:9" s="1" customFormat="1" x14ac:dyDescent="0.45">
      <c r="A1" s="2"/>
      <c r="B1" s="59" t="s">
        <v>379</v>
      </c>
      <c r="C1" s="35"/>
      <c r="D1" s="35"/>
      <c r="E1" s="35"/>
      <c r="F1" s="35"/>
      <c r="G1" s="35"/>
      <c r="H1" s="35"/>
      <c r="I1" s="35"/>
    </row>
    <row r="2" spans="1:9" s="1" customFormat="1" x14ac:dyDescent="0.45">
      <c r="A2" s="37" t="s">
        <v>0</v>
      </c>
      <c r="B2" s="39" t="s">
        <v>371</v>
      </c>
      <c r="C2" s="40" t="s">
        <v>372</v>
      </c>
      <c r="D2" s="41" t="s">
        <v>373</v>
      </c>
      <c r="E2" s="42" t="s">
        <v>374</v>
      </c>
      <c r="F2" s="43" t="s">
        <v>375</v>
      </c>
      <c r="G2" s="44" t="s">
        <v>376</v>
      </c>
      <c r="H2" s="36" t="s">
        <v>377</v>
      </c>
      <c r="I2" s="45" t="s">
        <v>378</v>
      </c>
    </row>
    <row r="3" spans="1:9" s="1" customFormat="1" ht="16.5" x14ac:dyDescent="0.45">
      <c r="A3" s="38" t="s">
        <v>1</v>
      </c>
      <c r="B3" s="4">
        <v>64</v>
      </c>
      <c r="C3" s="4">
        <v>68</v>
      </c>
      <c r="D3" s="13">
        <v>61</v>
      </c>
      <c r="E3" s="13">
        <v>42</v>
      </c>
      <c r="F3" s="13">
        <v>39</v>
      </c>
      <c r="G3" s="13">
        <v>25</v>
      </c>
      <c r="H3" s="4">
        <f t="shared" ref="H3:H34" si="0">SUM(E3,F3,G3)</f>
        <v>106</v>
      </c>
      <c r="I3" s="13">
        <f t="shared" ref="I3:I34" si="1">SUM(B3,C3,D3,H3)</f>
        <v>299</v>
      </c>
    </row>
    <row r="4" spans="1:9" s="1" customFormat="1" ht="16.5" x14ac:dyDescent="0.45">
      <c r="A4" s="38" t="s">
        <v>2</v>
      </c>
      <c r="B4" s="13">
        <v>78</v>
      </c>
      <c r="C4" s="13">
        <v>78</v>
      </c>
      <c r="D4" s="13">
        <v>68</v>
      </c>
      <c r="E4" s="13">
        <v>36</v>
      </c>
      <c r="F4" s="13">
        <v>42</v>
      </c>
      <c r="G4" s="13">
        <v>42</v>
      </c>
      <c r="H4" s="4">
        <f t="shared" si="0"/>
        <v>120</v>
      </c>
      <c r="I4" s="13">
        <f t="shared" si="1"/>
        <v>344</v>
      </c>
    </row>
    <row r="5" spans="1:9" s="1" customFormat="1" ht="16.5" x14ac:dyDescent="0.45">
      <c r="A5" s="38" t="s">
        <v>3</v>
      </c>
      <c r="B5" s="13">
        <v>68</v>
      </c>
      <c r="C5" s="13">
        <v>81</v>
      </c>
      <c r="D5" s="13">
        <v>61</v>
      </c>
      <c r="E5" s="13">
        <v>36</v>
      </c>
      <c r="F5" s="13">
        <v>42</v>
      </c>
      <c r="G5" s="13">
        <v>37</v>
      </c>
      <c r="H5" s="4">
        <f t="shared" si="0"/>
        <v>115</v>
      </c>
      <c r="I5" s="13">
        <f t="shared" si="1"/>
        <v>325</v>
      </c>
    </row>
    <row r="6" spans="1:9" s="1" customFormat="1" ht="16.5" x14ac:dyDescent="0.45">
      <c r="A6" s="38" t="s">
        <v>5</v>
      </c>
      <c r="B6" s="13">
        <v>74</v>
      </c>
      <c r="C6" s="13">
        <v>95</v>
      </c>
      <c r="D6" s="13">
        <v>81</v>
      </c>
      <c r="E6" s="13">
        <v>50</v>
      </c>
      <c r="F6" s="13">
        <v>45</v>
      </c>
      <c r="G6" s="13">
        <v>34</v>
      </c>
      <c r="H6" s="4">
        <f t="shared" si="0"/>
        <v>129</v>
      </c>
      <c r="I6" s="13">
        <f t="shared" si="1"/>
        <v>379</v>
      </c>
    </row>
    <row r="7" spans="1:9" s="1" customFormat="1" ht="16.5" x14ac:dyDescent="0.45">
      <c r="A7" s="38" t="s">
        <v>6</v>
      </c>
      <c r="B7" s="13">
        <v>62</v>
      </c>
      <c r="C7" s="13">
        <v>74</v>
      </c>
      <c r="D7" s="13">
        <v>84</v>
      </c>
      <c r="E7" s="13">
        <v>44</v>
      </c>
      <c r="F7" s="13">
        <v>45</v>
      </c>
      <c r="G7" s="13">
        <v>38</v>
      </c>
      <c r="H7" s="4">
        <f t="shared" si="0"/>
        <v>127</v>
      </c>
      <c r="I7" s="13">
        <f t="shared" si="1"/>
        <v>347</v>
      </c>
    </row>
    <row r="8" spans="1:9" s="1" customFormat="1" ht="16.5" x14ac:dyDescent="0.45">
      <c r="A8" s="38" t="s">
        <v>7</v>
      </c>
      <c r="B8" s="13">
        <v>50</v>
      </c>
      <c r="C8" s="1">
        <v>69</v>
      </c>
      <c r="D8" s="13">
        <v>74</v>
      </c>
      <c r="E8" s="13">
        <v>34</v>
      </c>
      <c r="F8" s="13">
        <v>25</v>
      </c>
      <c r="G8" s="13">
        <v>28</v>
      </c>
      <c r="H8" s="4">
        <f t="shared" si="0"/>
        <v>87</v>
      </c>
      <c r="I8" s="13">
        <f t="shared" si="1"/>
        <v>280</v>
      </c>
    </row>
    <row r="9" spans="1:9" s="1" customFormat="1" ht="16.5" x14ac:dyDescent="0.45">
      <c r="A9" s="38" t="s">
        <v>8</v>
      </c>
      <c r="B9" s="13">
        <v>62</v>
      </c>
      <c r="C9" s="13">
        <v>57</v>
      </c>
      <c r="D9" s="13">
        <v>63</v>
      </c>
      <c r="E9" s="13">
        <v>38</v>
      </c>
      <c r="F9" s="13">
        <v>32</v>
      </c>
      <c r="G9" s="13">
        <v>29</v>
      </c>
      <c r="H9" s="4">
        <f t="shared" si="0"/>
        <v>99</v>
      </c>
      <c r="I9" s="13">
        <f t="shared" si="1"/>
        <v>281</v>
      </c>
    </row>
    <row r="10" spans="1:9" s="1" customFormat="1" ht="16.5" x14ac:dyDescent="0.45">
      <c r="A10" s="38" t="s">
        <v>9</v>
      </c>
      <c r="B10" s="13">
        <v>64</v>
      </c>
      <c r="C10" s="13">
        <v>82</v>
      </c>
      <c r="D10" s="13">
        <v>58</v>
      </c>
      <c r="E10" s="13">
        <v>36</v>
      </c>
      <c r="F10" s="13">
        <v>45</v>
      </c>
      <c r="G10" s="13">
        <v>33</v>
      </c>
      <c r="H10" s="4">
        <f t="shared" si="0"/>
        <v>114</v>
      </c>
      <c r="I10" s="13">
        <f t="shared" si="1"/>
        <v>318</v>
      </c>
    </row>
    <row r="11" spans="1:9" s="1" customFormat="1" ht="16.5" x14ac:dyDescent="0.45">
      <c r="A11" s="38" t="s">
        <v>10</v>
      </c>
      <c r="B11" s="13">
        <v>78</v>
      </c>
      <c r="C11" s="13">
        <v>96</v>
      </c>
      <c r="D11" s="13">
        <v>59</v>
      </c>
      <c r="E11" s="13">
        <v>50</v>
      </c>
      <c r="F11" s="13">
        <v>36</v>
      </c>
      <c r="G11" s="13">
        <v>37</v>
      </c>
      <c r="H11" s="4">
        <f t="shared" si="0"/>
        <v>123</v>
      </c>
      <c r="I11" s="13">
        <f t="shared" si="1"/>
        <v>356</v>
      </c>
    </row>
    <row r="12" spans="1:9" s="1" customFormat="1" ht="16.5" x14ac:dyDescent="0.45">
      <c r="A12" s="38" t="s">
        <v>11</v>
      </c>
      <c r="B12" s="13">
        <v>66</v>
      </c>
      <c r="C12" s="13">
        <v>89</v>
      </c>
      <c r="D12" s="13">
        <v>77</v>
      </c>
      <c r="E12" s="13">
        <v>46</v>
      </c>
      <c r="F12" s="13">
        <v>42</v>
      </c>
      <c r="G12" s="13">
        <v>31</v>
      </c>
      <c r="H12" s="4">
        <f t="shared" si="0"/>
        <v>119</v>
      </c>
      <c r="I12" s="13">
        <f t="shared" si="1"/>
        <v>351</v>
      </c>
    </row>
    <row r="13" spans="1:9" s="1" customFormat="1" ht="16.5" x14ac:dyDescent="0.45">
      <c r="A13" s="38" t="s">
        <v>12</v>
      </c>
      <c r="B13" s="13">
        <v>70</v>
      </c>
      <c r="C13" s="13">
        <v>95</v>
      </c>
      <c r="D13" s="13">
        <v>100</v>
      </c>
      <c r="E13" s="13">
        <v>52</v>
      </c>
      <c r="F13" s="13">
        <v>45</v>
      </c>
      <c r="G13" s="13">
        <v>44</v>
      </c>
      <c r="H13" s="4">
        <f t="shared" si="0"/>
        <v>141</v>
      </c>
      <c r="I13" s="13">
        <f t="shared" si="1"/>
        <v>406</v>
      </c>
    </row>
    <row r="14" spans="1:9" s="1" customFormat="1" ht="16.5" x14ac:dyDescent="0.45">
      <c r="A14" s="38" t="s">
        <v>13</v>
      </c>
      <c r="B14" s="13">
        <v>88</v>
      </c>
      <c r="C14" s="13">
        <v>96</v>
      </c>
      <c r="D14" s="13">
        <v>96</v>
      </c>
      <c r="E14" s="13">
        <v>54</v>
      </c>
      <c r="F14" s="13">
        <v>42</v>
      </c>
      <c r="G14" s="13">
        <v>41</v>
      </c>
      <c r="H14" s="4">
        <f t="shared" si="0"/>
        <v>137</v>
      </c>
      <c r="I14" s="13">
        <f t="shared" si="1"/>
        <v>417</v>
      </c>
    </row>
    <row r="15" spans="1:9" s="1" customFormat="1" ht="16.5" x14ac:dyDescent="0.45">
      <c r="A15" s="38" t="s">
        <v>14</v>
      </c>
      <c r="B15" s="13">
        <v>78</v>
      </c>
      <c r="C15" s="13">
        <v>96</v>
      </c>
      <c r="D15" s="13">
        <v>59</v>
      </c>
      <c r="E15" s="13">
        <v>52</v>
      </c>
      <c r="F15" s="13">
        <v>39</v>
      </c>
      <c r="G15" s="13">
        <v>44</v>
      </c>
      <c r="H15" s="4">
        <f t="shared" si="0"/>
        <v>135</v>
      </c>
      <c r="I15" s="13">
        <f t="shared" si="1"/>
        <v>368</v>
      </c>
    </row>
    <row r="16" spans="1:9" s="1" customFormat="1" ht="16.5" x14ac:dyDescent="0.45">
      <c r="A16" s="38" t="s">
        <v>15</v>
      </c>
      <c r="B16" s="13">
        <v>64</v>
      </c>
      <c r="C16" s="13">
        <v>92</v>
      </c>
      <c r="D16" s="13">
        <v>68</v>
      </c>
      <c r="E16" s="13">
        <v>54</v>
      </c>
      <c r="F16" s="13">
        <v>39</v>
      </c>
      <c r="G16" s="13">
        <v>42</v>
      </c>
      <c r="H16" s="4">
        <f t="shared" si="0"/>
        <v>135</v>
      </c>
      <c r="I16" s="13">
        <f t="shared" si="1"/>
        <v>359</v>
      </c>
    </row>
    <row r="17" spans="1:9" s="1" customFormat="1" ht="16.5" x14ac:dyDescent="0.45">
      <c r="A17" s="38" t="s">
        <v>16</v>
      </c>
      <c r="B17" s="13">
        <v>76</v>
      </c>
      <c r="C17" s="13">
        <v>90</v>
      </c>
      <c r="D17" s="13">
        <v>94</v>
      </c>
      <c r="E17" s="13">
        <v>44</v>
      </c>
      <c r="F17" s="13">
        <v>45</v>
      </c>
      <c r="G17" s="13">
        <v>37</v>
      </c>
      <c r="H17" s="4">
        <f t="shared" si="0"/>
        <v>126</v>
      </c>
      <c r="I17" s="13">
        <f t="shared" si="1"/>
        <v>386</v>
      </c>
    </row>
    <row r="18" spans="1:9" s="1" customFormat="1" ht="16.5" x14ac:dyDescent="0.45">
      <c r="A18" s="38" t="s">
        <v>17</v>
      </c>
      <c r="B18" s="13">
        <v>74</v>
      </c>
      <c r="C18" s="13">
        <v>78</v>
      </c>
      <c r="D18" s="13">
        <v>78</v>
      </c>
      <c r="E18" s="13">
        <v>48</v>
      </c>
      <c r="F18" s="13">
        <v>45</v>
      </c>
      <c r="G18" s="13">
        <v>32</v>
      </c>
      <c r="H18" s="4">
        <f t="shared" si="0"/>
        <v>125</v>
      </c>
      <c r="I18" s="13">
        <f t="shared" si="1"/>
        <v>355</v>
      </c>
    </row>
    <row r="19" spans="1:9" s="1" customFormat="1" ht="16.5" x14ac:dyDescent="0.45">
      <c r="A19" s="38" t="s">
        <v>18</v>
      </c>
      <c r="B19" s="13">
        <v>74</v>
      </c>
      <c r="C19" s="13">
        <v>70</v>
      </c>
      <c r="D19" s="13">
        <v>47</v>
      </c>
      <c r="E19" s="13">
        <v>44</v>
      </c>
      <c r="F19" s="13">
        <v>45</v>
      </c>
      <c r="G19" s="13">
        <v>39</v>
      </c>
      <c r="H19" s="4">
        <f t="shared" si="0"/>
        <v>128</v>
      </c>
      <c r="I19" s="13">
        <f t="shared" si="1"/>
        <v>319</v>
      </c>
    </row>
    <row r="20" spans="1:9" s="1" customFormat="1" ht="16.5" x14ac:dyDescent="0.45">
      <c r="A20" s="38" t="s">
        <v>19</v>
      </c>
      <c r="B20" s="13">
        <v>72</v>
      </c>
      <c r="C20" s="13">
        <v>93</v>
      </c>
      <c r="D20" s="13">
        <v>86</v>
      </c>
      <c r="E20" s="13">
        <v>48</v>
      </c>
      <c r="F20" s="13">
        <v>45</v>
      </c>
      <c r="G20" s="13">
        <v>39</v>
      </c>
      <c r="H20" s="4">
        <f t="shared" si="0"/>
        <v>132</v>
      </c>
      <c r="I20" s="13">
        <f t="shared" si="1"/>
        <v>383</v>
      </c>
    </row>
    <row r="21" spans="1:9" s="1" customFormat="1" ht="16.5" x14ac:dyDescent="0.45">
      <c r="A21" s="38" t="s">
        <v>20</v>
      </c>
      <c r="B21" s="13">
        <v>68</v>
      </c>
      <c r="C21" s="13">
        <v>95</v>
      </c>
      <c r="D21" s="13">
        <v>86</v>
      </c>
      <c r="E21" s="13">
        <v>52</v>
      </c>
      <c r="F21" s="13">
        <v>45</v>
      </c>
      <c r="G21" s="13">
        <v>32</v>
      </c>
      <c r="H21" s="4">
        <f t="shared" si="0"/>
        <v>129</v>
      </c>
      <c r="I21" s="13">
        <f t="shared" si="1"/>
        <v>378</v>
      </c>
    </row>
    <row r="22" spans="1:9" s="1" customFormat="1" ht="16.5" x14ac:dyDescent="0.45">
      <c r="A22" s="38" t="s">
        <v>21</v>
      </c>
      <c r="B22" s="13">
        <v>76</v>
      </c>
      <c r="C22" s="13">
        <v>70</v>
      </c>
      <c r="D22" s="13">
        <v>75</v>
      </c>
      <c r="E22" s="13">
        <v>40</v>
      </c>
      <c r="F22" s="13">
        <v>30</v>
      </c>
      <c r="G22" s="13">
        <v>36</v>
      </c>
      <c r="H22" s="4">
        <f t="shared" si="0"/>
        <v>106</v>
      </c>
      <c r="I22" s="13">
        <f t="shared" si="1"/>
        <v>327</v>
      </c>
    </row>
    <row r="23" spans="1:9" s="1" customFormat="1" ht="16.5" x14ac:dyDescent="0.45">
      <c r="A23" s="38" t="s">
        <v>22</v>
      </c>
      <c r="B23" s="13">
        <v>42</v>
      </c>
      <c r="C23" s="13">
        <v>64</v>
      </c>
      <c r="D23" s="13">
        <v>26</v>
      </c>
      <c r="E23" s="13">
        <v>42</v>
      </c>
      <c r="F23" s="13">
        <v>39</v>
      </c>
      <c r="G23" s="1">
        <v>31</v>
      </c>
      <c r="H23" s="4">
        <f t="shared" si="0"/>
        <v>112</v>
      </c>
      <c r="I23" s="13">
        <f t="shared" si="1"/>
        <v>244</v>
      </c>
    </row>
    <row r="24" spans="1:9" s="1" customFormat="1" ht="16.5" x14ac:dyDescent="0.45">
      <c r="A24" s="38" t="s">
        <v>23</v>
      </c>
      <c r="B24" s="2">
        <v>82</v>
      </c>
      <c r="C24" s="2">
        <v>99</v>
      </c>
      <c r="D24" s="13">
        <v>88</v>
      </c>
      <c r="E24" s="13">
        <v>52</v>
      </c>
      <c r="F24" s="13">
        <v>42</v>
      </c>
      <c r="G24" s="13">
        <v>40</v>
      </c>
      <c r="H24" s="4">
        <f t="shared" si="0"/>
        <v>134</v>
      </c>
      <c r="I24" s="13">
        <f t="shared" si="1"/>
        <v>403</v>
      </c>
    </row>
    <row r="25" spans="1:9" s="1" customFormat="1" ht="16.5" x14ac:dyDescent="0.45">
      <c r="A25" s="38" t="s">
        <v>24</v>
      </c>
      <c r="B25" s="15">
        <v>74</v>
      </c>
      <c r="C25" s="15">
        <v>87</v>
      </c>
      <c r="D25" s="13">
        <v>94</v>
      </c>
      <c r="E25" s="13">
        <v>46</v>
      </c>
      <c r="F25" s="13">
        <v>44</v>
      </c>
      <c r="G25" s="13">
        <v>31</v>
      </c>
      <c r="H25" s="4">
        <f t="shared" si="0"/>
        <v>121</v>
      </c>
      <c r="I25" s="13">
        <f t="shared" si="1"/>
        <v>376</v>
      </c>
    </row>
    <row r="26" spans="1:9" s="1" customFormat="1" ht="16.5" x14ac:dyDescent="0.45">
      <c r="A26" s="38" t="s">
        <v>25</v>
      </c>
      <c r="B26" s="13">
        <v>56</v>
      </c>
      <c r="C26" s="13">
        <v>76</v>
      </c>
      <c r="D26" s="13">
        <v>78</v>
      </c>
      <c r="E26" s="13">
        <v>50</v>
      </c>
      <c r="F26" s="13">
        <v>41</v>
      </c>
      <c r="G26" s="13">
        <v>36</v>
      </c>
      <c r="H26" s="4">
        <f t="shared" si="0"/>
        <v>127</v>
      </c>
      <c r="I26" s="13">
        <f t="shared" si="1"/>
        <v>337</v>
      </c>
    </row>
    <row r="27" spans="1:9" s="1" customFormat="1" ht="16.5" x14ac:dyDescent="0.45">
      <c r="A27" s="38" t="s">
        <v>26</v>
      </c>
      <c r="B27" s="13">
        <v>76</v>
      </c>
      <c r="C27" s="13">
        <v>46</v>
      </c>
      <c r="D27" s="13">
        <v>57</v>
      </c>
      <c r="E27" s="13">
        <v>38</v>
      </c>
      <c r="F27" s="13">
        <v>32</v>
      </c>
      <c r="G27" s="13">
        <v>44</v>
      </c>
      <c r="H27" s="4">
        <f t="shared" si="0"/>
        <v>114</v>
      </c>
      <c r="I27" s="13">
        <f t="shared" si="1"/>
        <v>293</v>
      </c>
    </row>
    <row r="28" spans="1:9" s="1" customFormat="1" ht="16.5" x14ac:dyDescent="0.45">
      <c r="A28" s="38" t="s">
        <v>27</v>
      </c>
      <c r="B28" s="13">
        <v>64</v>
      </c>
      <c r="C28" s="13">
        <v>63</v>
      </c>
      <c r="D28" s="13">
        <v>78</v>
      </c>
      <c r="E28" s="13">
        <v>40</v>
      </c>
      <c r="F28" s="13">
        <v>45</v>
      </c>
      <c r="G28" s="13">
        <v>38</v>
      </c>
      <c r="H28" s="4">
        <f t="shared" si="0"/>
        <v>123</v>
      </c>
      <c r="I28" s="13">
        <f t="shared" si="1"/>
        <v>328</v>
      </c>
    </row>
    <row r="29" spans="1:9" ht="16.5" x14ac:dyDescent="0.45">
      <c r="A29" s="38" t="s">
        <v>28</v>
      </c>
      <c r="B29" s="13">
        <v>64</v>
      </c>
      <c r="C29" s="13">
        <v>0</v>
      </c>
      <c r="D29" s="13"/>
      <c r="E29" s="13">
        <v>34</v>
      </c>
      <c r="F29" s="13">
        <v>36</v>
      </c>
      <c r="G29" s="13">
        <v>33</v>
      </c>
      <c r="H29" s="4">
        <f t="shared" si="0"/>
        <v>103</v>
      </c>
      <c r="I29" s="13">
        <f t="shared" si="1"/>
        <v>167</v>
      </c>
    </row>
    <row r="30" spans="1:9" ht="16.5" x14ac:dyDescent="0.45">
      <c r="A30" s="38" t="s">
        <v>29</v>
      </c>
      <c r="B30" s="13">
        <v>72</v>
      </c>
      <c r="C30" s="13">
        <v>95</v>
      </c>
      <c r="D30" s="13">
        <v>72</v>
      </c>
      <c r="E30" s="13">
        <v>50</v>
      </c>
      <c r="F30" s="13">
        <v>39</v>
      </c>
      <c r="G30" s="13">
        <v>36</v>
      </c>
      <c r="H30" s="4">
        <f t="shared" si="0"/>
        <v>125</v>
      </c>
      <c r="I30" s="13">
        <f t="shared" si="1"/>
        <v>364</v>
      </c>
    </row>
    <row r="31" spans="1:9" ht="16.5" x14ac:dyDescent="0.45">
      <c r="A31" s="38" t="s">
        <v>30</v>
      </c>
      <c r="B31" s="13">
        <v>82</v>
      </c>
      <c r="C31" s="13">
        <v>95</v>
      </c>
      <c r="D31" s="13">
        <v>94</v>
      </c>
      <c r="E31" s="13">
        <v>46</v>
      </c>
      <c r="F31" s="13">
        <v>33</v>
      </c>
      <c r="G31" s="13">
        <v>45</v>
      </c>
      <c r="H31" s="4">
        <f t="shared" si="0"/>
        <v>124</v>
      </c>
      <c r="I31" s="13">
        <f t="shared" si="1"/>
        <v>395</v>
      </c>
    </row>
    <row r="32" spans="1:9" ht="16.5" x14ac:dyDescent="0.45">
      <c r="A32" s="38" t="s">
        <v>31</v>
      </c>
      <c r="B32" s="13">
        <v>72</v>
      </c>
      <c r="C32" s="13">
        <v>93</v>
      </c>
      <c r="D32" s="13">
        <v>94</v>
      </c>
      <c r="E32" s="13">
        <v>42</v>
      </c>
      <c r="F32" s="13">
        <v>39</v>
      </c>
      <c r="G32" s="13">
        <v>32</v>
      </c>
      <c r="H32" s="4">
        <f t="shared" si="0"/>
        <v>113</v>
      </c>
      <c r="I32" s="13">
        <f t="shared" si="1"/>
        <v>372</v>
      </c>
    </row>
    <row r="33" spans="1:9" ht="16.5" x14ac:dyDescent="0.45">
      <c r="A33" s="38" t="s">
        <v>32</v>
      </c>
      <c r="B33" s="13">
        <v>60</v>
      </c>
      <c r="C33" s="13">
        <v>90</v>
      </c>
      <c r="D33" s="13">
        <v>91</v>
      </c>
      <c r="E33" s="13">
        <v>44</v>
      </c>
      <c r="F33" s="13">
        <v>40</v>
      </c>
      <c r="G33" s="13">
        <v>37</v>
      </c>
      <c r="H33" s="4">
        <f t="shared" si="0"/>
        <v>121</v>
      </c>
      <c r="I33" s="13">
        <f t="shared" si="1"/>
        <v>362</v>
      </c>
    </row>
    <row r="34" spans="1:9" ht="16.5" x14ac:dyDescent="0.45">
      <c r="A34" s="38" t="s">
        <v>33</v>
      </c>
      <c r="B34" s="13">
        <v>72</v>
      </c>
      <c r="C34" s="13">
        <v>70</v>
      </c>
      <c r="D34" s="13">
        <v>92</v>
      </c>
      <c r="E34" s="13">
        <v>34</v>
      </c>
      <c r="F34" s="13">
        <v>45</v>
      </c>
      <c r="G34" s="13">
        <v>40</v>
      </c>
      <c r="H34" s="4">
        <f t="shared" si="0"/>
        <v>119</v>
      </c>
      <c r="I34" s="13">
        <f t="shared" si="1"/>
        <v>353</v>
      </c>
    </row>
    <row r="35" spans="1:9" ht="16.5" x14ac:dyDescent="0.45">
      <c r="A35" s="38" t="s">
        <v>34</v>
      </c>
      <c r="B35" s="15" t="s">
        <v>4</v>
      </c>
      <c r="C35" s="15" t="s">
        <v>4</v>
      </c>
      <c r="D35" s="15" t="s">
        <v>4</v>
      </c>
      <c r="E35" s="15" t="s">
        <v>4</v>
      </c>
      <c r="F35" s="15" t="s">
        <v>4</v>
      </c>
      <c r="G35" s="15" t="s">
        <v>4</v>
      </c>
      <c r="H35" s="4" t="s">
        <v>4</v>
      </c>
      <c r="I35" s="4" t="s">
        <v>4</v>
      </c>
    </row>
    <row r="36" spans="1:9" ht="16.5" x14ac:dyDescent="0.45">
      <c r="A36" s="38" t="s">
        <v>35</v>
      </c>
      <c r="B36" s="13">
        <v>58</v>
      </c>
      <c r="C36" s="13">
        <v>60</v>
      </c>
      <c r="D36" s="13">
        <v>44</v>
      </c>
      <c r="E36" s="13">
        <v>40</v>
      </c>
      <c r="F36" s="13">
        <v>35</v>
      </c>
      <c r="G36" s="13">
        <v>27</v>
      </c>
      <c r="H36" s="4">
        <f>SUM(E36,F36,G36)</f>
        <v>102</v>
      </c>
      <c r="I36" s="13">
        <f>SUM(B36,C36,D36,H36)</f>
        <v>264</v>
      </c>
    </row>
    <row r="37" spans="1:9" ht="16.5" x14ac:dyDescent="0.45">
      <c r="A37" s="38" t="s">
        <v>36</v>
      </c>
      <c r="B37" s="13">
        <v>66</v>
      </c>
      <c r="C37" s="13">
        <v>54</v>
      </c>
      <c r="D37" s="13">
        <v>76</v>
      </c>
      <c r="E37" s="13">
        <v>34</v>
      </c>
      <c r="F37" s="13">
        <v>32</v>
      </c>
      <c r="G37" s="13">
        <v>21</v>
      </c>
      <c r="H37" s="4">
        <f>SUM(E37,F37,G37)</f>
        <v>87</v>
      </c>
      <c r="I37" s="13">
        <f>SUM(B37,C37,D37,H37)</f>
        <v>283</v>
      </c>
    </row>
  </sheetData>
  <sheetProtection formatCells="0" insertHyperlinks="0" autoFilter="0"/>
  <mergeCells count="1">
    <mergeCell ref="B1:I1"/>
  </mergeCells>
  <phoneticPr fontId="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R21"/>
  <sheetViews>
    <sheetView zoomScale="115" zoomScaleNormal="115" workbookViewId="0">
      <pane xSplit="1" ySplit="1" topLeftCell="B2" activePane="bottomRight" state="frozen"/>
      <selection pane="topRight"/>
      <selection pane="bottomLeft"/>
      <selection pane="bottomRight" activeCell="J1" sqref="J1"/>
    </sheetView>
  </sheetViews>
  <sheetFormatPr defaultColWidth="25" defaultRowHeight="14.5" x14ac:dyDescent="0.45"/>
  <cols>
    <col min="1" max="1" width="6.15234375" style="28" bestFit="1" customWidth="1"/>
    <col min="2" max="4" width="10" style="1" bestFit="1" customWidth="1"/>
    <col min="5" max="5" width="9.07421875" style="1" bestFit="1" customWidth="1"/>
    <col min="6" max="7" width="9.53515625" style="1" bestFit="1" customWidth="1"/>
    <col min="8" max="8" width="13.3046875" style="1" bestFit="1" customWidth="1"/>
    <col min="9" max="9" width="10" style="1" bestFit="1" customWidth="1"/>
    <col min="10" max="16372" width="25" style="1"/>
    <col min="16373" max="16384" width="25" style="29"/>
  </cols>
  <sheetData>
    <row r="1" spans="1:9" s="1" customFormat="1" x14ac:dyDescent="0.45">
      <c r="A1" s="46"/>
      <c r="B1" s="60" t="s">
        <v>380</v>
      </c>
      <c r="C1" s="47"/>
      <c r="D1" s="47"/>
      <c r="E1" s="47"/>
      <c r="F1" s="47"/>
      <c r="G1" s="47"/>
      <c r="H1" s="47"/>
      <c r="I1" s="47"/>
    </row>
    <row r="2" spans="1:9" s="1" customFormat="1" x14ac:dyDescent="0.45">
      <c r="A2" s="57" t="s">
        <v>0</v>
      </c>
      <c r="B2" s="48" t="s">
        <v>371</v>
      </c>
      <c r="C2" s="49" t="s">
        <v>372</v>
      </c>
      <c r="D2" s="50" t="s">
        <v>373</v>
      </c>
      <c r="E2" s="51" t="s">
        <v>374</v>
      </c>
      <c r="F2" s="52" t="s">
        <v>375</v>
      </c>
      <c r="G2" s="53" t="s">
        <v>376</v>
      </c>
      <c r="H2" s="54" t="s">
        <v>377</v>
      </c>
      <c r="I2" s="55" t="s">
        <v>378</v>
      </c>
    </row>
    <row r="3" spans="1:9" s="1" customFormat="1" x14ac:dyDescent="0.45">
      <c r="A3" s="58" t="s">
        <v>37</v>
      </c>
      <c r="B3" s="58" t="s">
        <v>38</v>
      </c>
      <c r="C3" s="58" t="s">
        <v>38</v>
      </c>
      <c r="D3" s="58" t="s">
        <v>38</v>
      </c>
      <c r="E3" s="58" t="s">
        <v>38</v>
      </c>
      <c r="F3" s="58" t="s">
        <v>38</v>
      </c>
      <c r="G3" s="58" t="s">
        <v>38</v>
      </c>
      <c r="H3" s="58" t="s">
        <v>38</v>
      </c>
      <c r="I3" s="58" t="s">
        <v>38</v>
      </c>
    </row>
    <row r="4" spans="1:9" s="1" customFormat="1" x14ac:dyDescent="0.45">
      <c r="A4" s="58" t="s">
        <v>39</v>
      </c>
      <c r="B4" s="58" t="s">
        <v>38</v>
      </c>
      <c r="C4" s="58" t="s">
        <v>38</v>
      </c>
      <c r="D4" s="58" t="s">
        <v>38</v>
      </c>
      <c r="E4" s="58" t="s">
        <v>38</v>
      </c>
      <c r="F4" s="58" t="s">
        <v>38</v>
      </c>
      <c r="G4" s="58" t="s">
        <v>38</v>
      </c>
      <c r="H4" s="58" t="s">
        <v>38</v>
      </c>
      <c r="I4" s="58" t="s">
        <v>38</v>
      </c>
    </row>
    <row r="5" spans="1:9" s="1" customFormat="1" x14ac:dyDescent="0.45">
      <c r="A5" s="56" t="s">
        <v>40</v>
      </c>
      <c r="B5" s="58">
        <v>70</v>
      </c>
      <c r="C5" s="58">
        <v>92</v>
      </c>
      <c r="D5" s="58">
        <v>80</v>
      </c>
      <c r="E5" s="58">
        <v>57</v>
      </c>
      <c r="F5" s="58">
        <v>42</v>
      </c>
      <c r="G5" s="58">
        <v>39</v>
      </c>
      <c r="H5" s="58">
        <v>138</v>
      </c>
      <c r="I5" s="58">
        <f t="shared" ref="I5:I21" si="0">SUM(B5:G5)</f>
        <v>380</v>
      </c>
    </row>
    <row r="6" spans="1:9" s="1" customFormat="1" x14ac:dyDescent="0.45">
      <c r="A6" s="58" t="s">
        <v>41</v>
      </c>
      <c r="B6" s="58">
        <v>66</v>
      </c>
      <c r="C6" s="58">
        <v>80</v>
      </c>
      <c r="D6" s="58">
        <v>85</v>
      </c>
      <c r="E6" s="58">
        <v>51</v>
      </c>
      <c r="F6" s="58">
        <v>42</v>
      </c>
      <c r="G6" s="58">
        <v>43</v>
      </c>
      <c r="H6" s="58">
        <v>136</v>
      </c>
      <c r="I6" s="58">
        <f t="shared" si="0"/>
        <v>367</v>
      </c>
    </row>
    <row r="7" spans="1:9" s="1" customFormat="1" x14ac:dyDescent="0.45">
      <c r="A7" s="58" t="s">
        <v>42</v>
      </c>
      <c r="B7" s="58">
        <v>68</v>
      </c>
      <c r="C7" s="58">
        <v>98</v>
      </c>
      <c r="D7" s="58">
        <v>80</v>
      </c>
      <c r="E7" s="58">
        <v>39</v>
      </c>
      <c r="F7" s="58">
        <v>42</v>
      </c>
      <c r="G7" s="58">
        <v>36</v>
      </c>
      <c r="H7" s="58">
        <v>117</v>
      </c>
      <c r="I7" s="58">
        <f t="shared" si="0"/>
        <v>363</v>
      </c>
    </row>
    <row r="8" spans="1:9" s="1" customFormat="1" x14ac:dyDescent="0.45">
      <c r="A8" s="58" t="s">
        <v>43</v>
      </c>
      <c r="B8" s="58">
        <v>78</v>
      </c>
      <c r="C8" s="58">
        <v>93</v>
      </c>
      <c r="D8" s="58">
        <v>49</v>
      </c>
      <c r="E8" s="58">
        <v>48</v>
      </c>
      <c r="F8" s="58">
        <v>40</v>
      </c>
      <c r="G8" s="58">
        <v>42</v>
      </c>
      <c r="H8" s="58">
        <v>130</v>
      </c>
      <c r="I8" s="58">
        <f t="shared" si="0"/>
        <v>350</v>
      </c>
    </row>
    <row r="9" spans="1:9" s="1" customFormat="1" x14ac:dyDescent="0.45">
      <c r="A9" s="58" t="s">
        <v>44</v>
      </c>
      <c r="B9" s="58">
        <v>62</v>
      </c>
      <c r="C9" s="58">
        <v>84</v>
      </c>
      <c r="D9" s="58">
        <v>63</v>
      </c>
      <c r="E9" s="58">
        <v>55</v>
      </c>
      <c r="F9" s="58">
        <v>45</v>
      </c>
      <c r="G9" s="58">
        <v>39</v>
      </c>
      <c r="H9" s="58">
        <v>139</v>
      </c>
      <c r="I9" s="58">
        <f t="shared" si="0"/>
        <v>348</v>
      </c>
    </row>
    <row r="10" spans="1:9" s="1" customFormat="1" x14ac:dyDescent="0.45">
      <c r="A10" s="58" t="s">
        <v>45</v>
      </c>
      <c r="B10" s="58">
        <v>58</v>
      </c>
      <c r="C10" s="58">
        <v>80</v>
      </c>
      <c r="D10" s="58">
        <v>82</v>
      </c>
      <c r="E10" s="58">
        <v>49</v>
      </c>
      <c r="F10" s="58">
        <v>42</v>
      </c>
      <c r="G10" s="58">
        <v>34</v>
      </c>
      <c r="H10" s="58">
        <v>125</v>
      </c>
      <c r="I10" s="58">
        <f t="shared" si="0"/>
        <v>345</v>
      </c>
    </row>
    <row r="11" spans="1:9" s="1" customFormat="1" x14ac:dyDescent="0.45">
      <c r="A11" s="58" t="s">
        <v>46</v>
      </c>
      <c r="B11" s="58">
        <v>38</v>
      </c>
      <c r="C11" s="58">
        <v>83</v>
      </c>
      <c r="D11" s="58">
        <v>86</v>
      </c>
      <c r="E11" s="58">
        <v>49</v>
      </c>
      <c r="F11" s="58">
        <v>36</v>
      </c>
      <c r="G11" s="58">
        <v>44</v>
      </c>
      <c r="H11" s="58">
        <v>129</v>
      </c>
      <c r="I11" s="58">
        <f t="shared" si="0"/>
        <v>336</v>
      </c>
    </row>
    <row r="12" spans="1:9" s="1" customFormat="1" x14ac:dyDescent="0.45">
      <c r="A12" s="58" t="s">
        <v>47</v>
      </c>
      <c r="B12" s="58">
        <v>66</v>
      </c>
      <c r="C12" s="58">
        <v>93</v>
      </c>
      <c r="D12" s="58">
        <v>43</v>
      </c>
      <c r="E12" s="58">
        <v>45</v>
      </c>
      <c r="F12" s="58">
        <v>45</v>
      </c>
      <c r="G12" s="58">
        <v>39</v>
      </c>
      <c r="H12" s="58">
        <v>129</v>
      </c>
      <c r="I12" s="58">
        <f t="shared" si="0"/>
        <v>331</v>
      </c>
    </row>
    <row r="13" spans="1:9" s="1" customFormat="1" x14ac:dyDescent="0.45">
      <c r="A13" s="58" t="s">
        <v>48</v>
      </c>
      <c r="B13" s="58">
        <v>68</v>
      </c>
      <c r="C13" s="58">
        <v>59</v>
      </c>
      <c r="D13" s="58">
        <v>74</v>
      </c>
      <c r="E13" s="58">
        <v>54</v>
      </c>
      <c r="F13" s="58">
        <v>45</v>
      </c>
      <c r="G13" s="58">
        <v>23</v>
      </c>
      <c r="H13" s="58">
        <v>122</v>
      </c>
      <c r="I13" s="58">
        <f t="shared" si="0"/>
        <v>323</v>
      </c>
    </row>
    <row r="14" spans="1:9" s="1" customFormat="1" x14ac:dyDescent="0.45">
      <c r="A14" s="58" t="s">
        <v>49</v>
      </c>
      <c r="B14" s="58">
        <v>64</v>
      </c>
      <c r="C14" s="58">
        <v>71</v>
      </c>
      <c r="D14" s="58">
        <v>44</v>
      </c>
      <c r="E14" s="58">
        <v>53</v>
      </c>
      <c r="F14" s="58">
        <v>45</v>
      </c>
      <c r="G14" s="58">
        <v>42</v>
      </c>
      <c r="H14" s="58">
        <v>140</v>
      </c>
      <c r="I14" s="58">
        <f t="shared" si="0"/>
        <v>319</v>
      </c>
    </row>
    <row r="15" spans="1:9" s="1" customFormat="1" x14ac:dyDescent="0.45">
      <c r="A15" s="58" t="s">
        <v>50</v>
      </c>
      <c r="B15" s="58">
        <v>70</v>
      </c>
      <c r="C15" s="58">
        <v>60</v>
      </c>
      <c r="D15" s="58">
        <v>80</v>
      </c>
      <c r="E15" s="58">
        <v>47</v>
      </c>
      <c r="F15" s="58">
        <v>33</v>
      </c>
      <c r="G15" s="58">
        <v>21</v>
      </c>
      <c r="H15" s="58">
        <v>101</v>
      </c>
      <c r="I15" s="58">
        <f t="shared" si="0"/>
        <v>311</v>
      </c>
    </row>
    <row r="16" spans="1:9" s="1" customFormat="1" x14ac:dyDescent="0.45">
      <c r="A16" s="58" t="s">
        <v>51</v>
      </c>
      <c r="B16" s="58">
        <v>44</v>
      </c>
      <c r="C16" s="58">
        <v>98</v>
      </c>
      <c r="D16" s="58">
        <v>35</v>
      </c>
      <c r="E16" s="58">
        <v>45</v>
      </c>
      <c r="F16" s="58">
        <v>45</v>
      </c>
      <c r="G16" s="58">
        <v>39</v>
      </c>
      <c r="H16" s="58">
        <v>129</v>
      </c>
      <c r="I16" s="58">
        <f t="shared" si="0"/>
        <v>306</v>
      </c>
    </row>
    <row r="17" spans="1:9" s="1" customFormat="1" x14ac:dyDescent="0.45">
      <c r="A17" s="58" t="s">
        <v>52</v>
      </c>
      <c r="B17" s="58">
        <v>64</v>
      </c>
      <c r="C17" s="58">
        <v>77</v>
      </c>
      <c r="D17" s="58">
        <v>27</v>
      </c>
      <c r="E17" s="58">
        <v>49</v>
      </c>
      <c r="F17" s="58">
        <v>39</v>
      </c>
      <c r="G17" s="58">
        <v>39</v>
      </c>
      <c r="H17" s="58">
        <v>127</v>
      </c>
      <c r="I17" s="58">
        <f t="shared" si="0"/>
        <v>295</v>
      </c>
    </row>
    <row r="18" spans="1:9" s="1" customFormat="1" x14ac:dyDescent="0.45">
      <c r="A18" s="58" t="s">
        <v>53</v>
      </c>
      <c r="B18" s="58">
        <v>60</v>
      </c>
      <c r="C18" s="58">
        <v>59</v>
      </c>
      <c r="D18" s="58">
        <v>36</v>
      </c>
      <c r="E18" s="58">
        <v>52</v>
      </c>
      <c r="F18" s="58">
        <v>45</v>
      </c>
      <c r="G18" s="58">
        <v>42</v>
      </c>
      <c r="H18" s="58">
        <v>139</v>
      </c>
      <c r="I18" s="58">
        <f t="shared" si="0"/>
        <v>294</v>
      </c>
    </row>
    <row r="19" spans="1:9" s="1" customFormat="1" x14ac:dyDescent="0.45">
      <c r="A19" s="58" t="s">
        <v>54</v>
      </c>
      <c r="B19" s="58">
        <v>44</v>
      </c>
      <c r="C19" s="58">
        <v>60</v>
      </c>
      <c r="D19" s="58">
        <v>56</v>
      </c>
      <c r="E19" s="58">
        <v>50</v>
      </c>
      <c r="F19" s="58">
        <v>33</v>
      </c>
      <c r="G19" s="58">
        <v>35</v>
      </c>
      <c r="H19" s="58">
        <v>118</v>
      </c>
      <c r="I19" s="58">
        <f t="shared" si="0"/>
        <v>278</v>
      </c>
    </row>
    <row r="20" spans="1:9" s="1" customFormat="1" x14ac:dyDescent="0.45">
      <c r="A20" s="58" t="s">
        <v>55</v>
      </c>
      <c r="B20" s="58">
        <v>64</v>
      </c>
      <c r="C20" s="58">
        <v>38</v>
      </c>
      <c r="D20" s="58">
        <v>34</v>
      </c>
      <c r="E20" s="58">
        <v>51</v>
      </c>
      <c r="F20" s="58">
        <v>39</v>
      </c>
      <c r="G20" s="58">
        <v>30</v>
      </c>
      <c r="H20" s="58">
        <v>120</v>
      </c>
      <c r="I20" s="58">
        <f t="shared" si="0"/>
        <v>256</v>
      </c>
    </row>
    <row r="21" spans="1:9" s="1" customFormat="1" x14ac:dyDescent="0.45">
      <c r="A21" s="58" t="s">
        <v>56</v>
      </c>
      <c r="B21" s="58">
        <v>76</v>
      </c>
      <c r="C21" s="58">
        <v>84</v>
      </c>
      <c r="D21" s="58">
        <v>48</v>
      </c>
      <c r="E21" s="58" t="s">
        <v>38</v>
      </c>
      <c r="F21" s="58" t="s">
        <v>38</v>
      </c>
      <c r="G21" s="58" t="s">
        <v>38</v>
      </c>
      <c r="H21" s="58" t="s">
        <v>38</v>
      </c>
      <c r="I21" s="58">
        <f t="shared" si="0"/>
        <v>208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I1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:H2"/>
    </sheetView>
  </sheetViews>
  <sheetFormatPr defaultColWidth="11.3046875" defaultRowHeight="14.5" x14ac:dyDescent="0.45"/>
  <cols>
    <col min="1" max="1" width="7.23046875" style="1" bestFit="1" customWidth="1"/>
    <col min="2" max="3" width="11.3046875" style="1" bestFit="1"/>
    <col min="4" max="4" width="13.3046875" style="1" bestFit="1" customWidth="1"/>
    <col min="5" max="6" width="11.3046875" style="1" bestFit="1"/>
    <col min="7" max="7" width="14.07421875" style="1" bestFit="1" customWidth="1"/>
    <col min="8" max="8" width="11.3046875" style="1" bestFit="1"/>
    <col min="9" max="16384" width="11.3046875" style="1"/>
  </cols>
  <sheetData>
    <row r="1" spans="1:8" x14ac:dyDescent="0.45">
      <c r="A1" s="2"/>
      <c r="B1" s="66" t="s">
        <v>380</v>
      </c>
      <c r="C1" s="30"/>
      <c r="D1" s="30"/>
      <c r="E1" s="30"/>
      <c r="F1" s="30"/>
      <c r="G1" s="30"/>
      <c r="H1" s="30"/>
    </row>
    <row r="2" spans="1:8" x14ac:dyDescent="0.45">
      <c r="A2" s="6" t="s">
        <v>0</v>
      </c>
      <c r="B2" s="61" t="s">
        <v>381</v>
      </c>
      <c r="C2" s="62" t="s">
        <v>382</v>
      </c>
      <c r="D2" s="62" t="s">
        <v>383</v>
      </c>
      <c r="E2" s="63" t="s">
        <v>384</v>
      </c>
      <c r="F2" s="64" t="s">
        <v>385</v>
      </c>
      <c r="G2" s="64" t="s">
        <v>387</v>
      </c>
      <c r="H2" s="65" t="s">
        <v>386</v>
      </c>
    </row>
    <row r="3" spans="1:8" x14ac:dyDescent="0.45">
      <c r="A3" s="6" t="s">
        <v>57</v>
      </c>
      <c r="B3" s="16">
        <v>54</v>
      </c>
      <c r="C3" s="16">
        <v>85</v>
      </c>
      <c r="D3" s="16">
        <v>75</v>
      </c>
      <c r="E3" s="16">
        <v>54</v>
      </c>
      <c r="F3" s="13">
        <v>15</v>
      </c>
      <c r="G3" s="13">
        <v>69</v>
      </c>
      <c r="H3" s="16">
        <v>283</v>
      </c>
    </row>
    <row r="4" spans="1:8" x14ac:dyDescent="0.45">
      <c r="A4" s="6" t="s">
        <v>58</v>
      </c>
      <c r="B4" s="16">
        <v>22</v>
      </c>
      <c r="C4" s="16">
        <v>87</v>
      </c>
      <c r="D4" s="16">
        <v>93</v>
      </c>
      <c r="E4" s="16">
        <v>72</v>
      </c>
      <c r="F4" s="13">
        <v>18</v>
      </c>
      <c r="G4" s="13">
        <v>90</v>
      </c>
      <c r="H4" s="16">
        <v>292</v>
      </c>
    </row>
    <row r="5" spans="1:8" x14ac:dyDescent="0.45">
      <c r="A5" s="6" t="s">
        <v>59</v>
      </c>
      <c r="B5" s="16">
        <v>68</v>
      </c>
      <c r="C5" s="16">
        <v>89</v>
      </c>
      <c r="D5" s="16">
        <v>77.5</v>
      </c>
      <c r="E5" s="16">
        <v>69</v>
      </c>
      <c r="F5" s="13">
        <v>21</v>
      </c>
      <c r="G5" s="13">
        <v>90</v>
      </c>
      <c r="H5" s="16">
        <v>324.5</v>
      </c>
    </row>
    <row r="6" spans="1:8" x14ac:dyDescent="0.45">
      <c r="A6" s="6" t="s">
        <v>60</v>
      </c>
      <c r="B6" s="16">
        <v>66</v>
      </c>
      <c r="C6" s="16">
        <v>98</v>
      </c>
      <c r="D6" s="16">
        <v>81</v>
      </c>
      <c r="E6" s="16">
        <v>75</v>
      </c>
      <c r="F6" s="13">
        <v>29</v>
      </c>
      <c r="G6" s="13">
        <v>104</v>
      </c>
      <c r="H6" s="16">
        <v>349</v>
      </c>
    </row>
    <row r="7" spans="1:8" x14ac:dyDescent="0.45">
      <c r="A7" s="6" t="s">
        <v>61</v>
      </c>
      <c r="B7" s="16">
        <v>64</v>
      </c>
      <c r="C7" s="16">
        <v>83</v>
      </c>
      <c r="D7" s="16">
        <v>84.5</v>
      </c>
      <c r="E7" s="16">
        <v>75</v>
      </c>
      <c r="F7" s="13">
        <v>27</v>
      </c>
      <c r="G7" s="13">
        <v>102</v>
      </c>
      <c r="H7" s="16">
        <v>333.5</v>
      </c>
    </row>
    <row r="8" spans="1:8" x14ac:dyDescent="0.45">
      <c r="A8" s="6" t="s">
        <v>62</v>
      </c>
      <c r="B8" s="16">
        <v>68</v>
      </c>
      <c r="C8" s="16">
        <v>95</v>
      </c>
      <c r="D8" s="16">
        <v>85</v>
      </c>
      <c r="E8" s="16">
        <v>63</v>
      </c>
      <c r="F8" s="13">
        <v>24</v>
      </c>
      <c r="G8" s="13">
        <v>87</v>
      </c>
      <c r="H8" s="16">
        <v>335</v>
      </c>
    </row>
    <row r="9" spans="1:8" x14ac:dyDescent="0.45">
      <c r="A9" s="6" t="s">
        <v>63</v>
      </c>
      <c r="B9" s="16">
        <v>72</v>
      </c>
      <c r="C9" s="16">
        <v>99</v>
      </c>
      <c r="D9" s="16">
        <v>80.5</v>
      </c>
      <c r="E9" s="16">
        <v>72</v>
      </c>
      <c r="F9" s="13">
        <v>36</v>
      </c>
      <c r="G9" s="13">
        <v>108</v>
      </c>
      <c r="H9" s="16">
        <v>359.5</v>
      </c>
    </row>
    <row r="10" spans="1:8" x14ac:dyDescent="0.45">
      <c r="A10" s="6" t="s">
        <v>64</v>
      </c>
      <c r="B10" s="16">
        <v>50</v>
      </c>
      <c r="C10" s="16">
        <v>80</v>
      </c>
      <c r="D10" s="16">
        <v>94</v>
      </c>
      <c r="E10" s="16">
        <v>69</v>
      </c>
      <c r="F10" s="13">
        <v>26</v>
      </c>
      <c r="G10" s="13">
        <v>95</v>
      </c>
      <c r="H10" s="16">
        <v>319</v>
      </c>
    </row>
    <row r="11" spans="1:8" x14ac:dyDescent="0.45">
      <c r="A11" s="6" t="s">
        <v>65</v>
      </c>
      <c r="B11" s="16">
        <v>70</v>
      </c>
      <c r="C11" s="16">
        <v>73</v>
      </c>
      <c r="D11" s="16">
        <v>94</v>
      </c>
      <c r="E11" s="16">
        <v>72</v>
      </c>
      <c r="F11" s="13">
        <v>22</v>
      </c>
      <c r="G11" s="13">
        <v>94</v>
      </c>
      <c r="H11" s="16">
        <v>331</v>
      </c>
    </row>
    <row r="12" spans="1:8" x14ac:dyDescent="0.45">
      <c r="A12" s="6" t="s">
        <v>66</v>
      </c>
      <c r="B12" s="16">
        <v>86</v>
      </c>
      <c r="C12" s="16">
        <v>93</v>
      </c>
      <c r="D12" s="16">
        <v>92.5</v>
      </c>
      <c r="E12" s="16">
        <v>72</v>
      </c>
      <c r="F12" s="13">
        <v>29</v>
      </c>
      <c r="G12" s="13">
        <v>101</v>
      </c>
      <c r="H12" s="16">
        <v>372.5</v>
      </c>
    </row>
    <row r="13" spans="1:8" x14ac:dyDescent="0.45">
      <c r="A13" s="6" t="s">
        <v>67</v>
      </c>
      <c r="B13" s="16">
        <v>68</v>
      </c>
      <c r="C13" s="16">
        <v>93</v>
      </c>
      <c r="D13" s="16">
        <v>75</v>
      </c>
      <c r="E13" s="16">
        <v>72</v>
      </c>
      <c r="F13" s="13">
        <v>23</v>
      </c>
      <c r="G13" s="13">
        <v>95</v>
      </c>
      <c r="H13" s="16">
        <v>331</v>
      </c>
    </row>
    <row r="14" spans="1:8" x14ac:dyDescent="0.45">
      <c r="A14" s="6" t="s">
        <v>68</v>
      </c>
      <c r="B14" s="16">
        <v>72</v>
      </c>
      <c r="C14" s="16">
        <v>62</v>
      </c>
      <c r="D14" s="16">
        <v>90.5</v>
      </c>
      <c r="E14" s="16">
        <v>72</v>
      </c>
      <c r="F14" s="13">
        <v>22</v>
      </c>
      <c r="G14" s="13">
        <v>94</v>
      </c>
      <c r="H14" s="16">
        <v>318.5</v>
      </c>
    </row>
    <row r="15" spans="1:8" x14ac:dyDescent="0.45">
      <c r="A15" s="6" t="s">
        <v>69</v>
      </c>
      <c r="B15" s="16">
        <v>62</v>
      </c>
      <c r="C15" s="16">
        <v>76</v>
      </c>
      <c r="D15" s="16">
        <v>60.5</v>
      </c>
      <c r="E15" s="16">
        <v>75</v>
      </c>
      <c r="F15" s="13">
        <v>23</v>
      </c>
      <c r="G15" s="13">
        <v>98</v>
      </c>
      <c r="H15" s="16">
        <v>296.5</v>
      </c>
    </row>
    <row r="16" spans="1:8" x14ac:dyDescent="0.45">
      <c r="A16" s="6" t="s">
        <v>70</v>
      </c>
      <c r="B16" s="16">
        <v>62</v>
      </c>
      <c r="C16" s="16">
        <v>73</v>
      </c>
      <c r="D16" s="16">
        <v>57</v>
      </c>
      <c r="E16" s="16">
        <v>75</v>
      </c>
      <c r="F16" s="13">
        <v>22</v>
      </c>
      <c r="G16" s="13">
        <v>97</v>
      </c>
      <c r="H16" s="16">
        <v>289</v>
      </c>
    </row>
    <row r="17" spans="1:8" x14ac:dyDescent="0.45">
      <c r="A17" s="6" t="s">
        <v>71</v>
      </c>
      <c r="B17" s="16">
        <v>56</v>
      </c>
      <c r="C17" s="16">
        <v>77</v>
      </c>
      <c r="D17" s="16">
        <v>62.5</v>
      </c>
      <c r="E17" s="16">
        <v>66</v>
      </c>
      <c r="F17" s="13">
        <v>17</v>
      </c>
      <c r="G17" s="13">
        <v>83</v>
      </c>
      <c r="H17" s="16">
        <v>278.5</v>
      </c>
    </row>
    <row r="18" spans="1:8" x14ac:dyDescent="0.45">
      <c r="A18" s="6" t="s">
        <v>72</v>
      </c>
      <c r="B18" s="16">
        <v>62</v>
      </c>
      <c r="C18" s="16">
        <v>84</v>
      </c>
      <c r="D18" s="16">
        <v>81</v>
      </c>
      <c r="E18" s="16">
        <v>69</v>
      </c>
      <c r="F18" s="13">
        <v>26</v>
      </c>
      <c r="G18" s="13">
        <v>95</v>
      </c>
      <c r="H18" s="16">
        <v>322</v>
      </c>
    </row>
    <row r="19" spans="1:8" x14ac:dyDescent="0.45">
      <c r="A19" s="6" t="s">
        <v>73</v>
      </c>
      <c r="B19" s="16">
        <v>74</v>
      </c>
      <c r="C19" s="16">
        <v>99</v>
      </c>
      <c r="D19" s="16">
        <v>89</v>
      </c>
      <c r="E19" s="16">
        <v>75</v>
      </c>
      <c r="F19" s="13">
        <v>17</v>
      </c>
      <c r="G19" s="13">
        <v>92</v>
      </c>
      <c r="H19" s="16">
        <v>354</v>
      </c>
    </row>
    <row r="20" spans="1:8" x14ac:dyDescent="0.45">
      <c r="A20" s="6" t="s">
        <v>74</v>
      </c>
      <c r="B20" s="16">
        <v>92</v>
      </c>
      <c r="C20" s="16">
        <v>96</v>
      </c>
      <c r="D20" s="16">
        <v>92.5</v>
      </c>
      <c r="E20" s="16">
        <v>72</v>
      </c>
      <c r="F20" s="13">
        <v>31</v>
      </c>
      <c r="G20" s="13">
        <v>103</v>
      </c>
      <c r="H20" s="16">
        <v>383.5</v>
      </c>
    </row>
    <row r="21" spans="1:8" x14ac:dyDescent="0.45">
      <c r="A21" s="6" t="s">
        <v>75</v>
      </c>
      <c r="B21" s="16">
        <v>26</v>
      </c>
      <c r="C21" s="16">
        <v>47</v>
      </c>
      <c r="D21" s="16">
        <v>44.5</v>
      </c>
      <c r="E21" s="16">
        <v>51</v>
      </c>
      <c r="F21" s="13">
        <v>17</v>
      </c>
      <c r="G21" s="13">
        <v>68</v>
      </c>
      <c r="H21" s="16">
        <v>185.5</v>
      </c>
    </row>
    <row r="22" spans="1:8" x14ac:dyDescent="0.45">
      <c r="A22" s="6" t="s">
        <v>76</v>
      </c>
      <c r="B22" s="16">
        <v>54</v>
      </c>
      <c r="C22" s="16">
        <v>31</v>
      </c>
      <c r="D22" s="16">
        <v>77.5</v>
      </c>
      <c r="E22" s="16">
        <v>60</v>
      </c>
      <c r="F22" s="13">
        <v>9</v>
      </c>
      <c r="G22" s="13">
        <v>69</v>
      </c>
      <c r="H22" s="16">
        <v>231.5</v>
      </c>
    </row>
    <row r="23" spans="1:8" x14ac:dyDescent="0.45">
      <c r="A23" s="6" t="s">
        <v>77</v>
      </c>
      <c r="B23" s="16">
        <v>48</v>
      </c>
      <c r="C23" s="16">
        <v>67</v>
      </c>
      <c r="D23" s="16">
        <v>72</v>
      </c>
      <c r="E23" s="16">
        <v>60</v>
      </c>
      <c r="F23" s="13">
        <v>20</v>
      </c>
      <c r="G23" s="13">
        <v>80</v>
      </c>
      <c r="H23" s="16">
        <v>267</v>
      </c>
    </row>
    <row r="24" spans="1:8" x14ac:dyDescent="0.45">
      <c r="A24" s="6" t="s">
        <v>78</v>
      </c>
      <c r="B24" s="16">
        <v>82</v>
      </c>
      <c r="C24" s="16">
        <v>80</v>
      </c>
      <c r="D24" s="16">
        <v>81.5</v>
      </c>
      <c r="E24" s="16">
        <v>66</v>
      </c>
      <c r="F24" s="13">
        <v>29</v>
      </c>
      <c r="G24" s="13">
        <v>95</v>
      </c>
      <c r="H24" s="16">
        <v>338.5</v>
      </c>
    </row>
    <row r="25" spans="1:8" x14ac:dyDescent="0.45">
      <c r="A25" s="6" t="s">
        <v>79</v>
      </c>
      <c r="B25" s="16">
        <v>62</v>
      </c>
      <c r="C25" s="16">
        <v>62</v>
      </c>
      <c r="D25" s="16">
        <v>89</v>
      </c>
      <c r="E25" s="16">
        <v>66</v>
      </c>
      <c r="F25" s="13">
        <v>15</v>
      </c>
      <c r="G25" s="13">
        <v>81</v>
      </c>
      <c r="H25" s="16">
        <v>294</v>
      </c>
    </row>
    <row r="26" spans="1:8" x14ac:dyDescent="0.45">
      <c r="A26" s="6" t="s">
        <v>80</v>
      </c>
      <c r="B26" s="16">
        <v>42</v>
      </c>
      <c r="C26" s="16">
        <v>48</v>
      </c>
      <c r="D26" s="16">
        <v>51</v>
      </c>
      <c r="E26" s="16">
        <v>42</v>
      </c>
      <c r="F26" s="13">
        <v>16</v>
      </c>
      <c r="G26" s="13">
        <v>58</v>
      </c>
      <c r="H26" s="16">
        <v>199</v>
      </c>
    </row>
    <row r="27" spans="1:8" x14ac:dyDescent="0.45">
      <c r="A27" s="6" t="s">
        <v>81</v>
      </c>
      <c r="B27" s="16">
        <v>76</v>
      </c>
      <c r="C27" s="16">
        <v>69</v>
      </c>
      <c r="D27" s="16">
        <v>68</v>
      </c>
      <c r="E27" s="16">
        <v>57</v>
      </c>
      <c r="F27" s="13">
        <v>25</v>
      </c>
      <c r="G27" s="13">
        <v>82</v>
      </c>
      <c r="H27" s="16">
        <v>295</v>
      </c>
    </row>
    <row r="28" spans="1:8" x14ac:dyDescent="0.45">
      <c r="A28" s="6" t="s">
        <v>82</v>
      </c>
      <c r="B28" s="16">
        <v>68</v>
      </c>
      <c r="C28" s="16">
        <v>67</v>
      </c>
      <c r="D28" s="16">
        <v>79.5</v>
      </c>
      <c r="E28" s="16">
        <v>72</v>
      </c>
      <c r="F28" s="13">
        <v>29</v>
      </c>
      <c r="G28" s="13">
        <v>101</v>
      </c>
      <c r="H28" s="16">
        <v>315.5</v>
      </c>
    </row>
    <row r="29" spans="1:8" x14ac:dyDescent="0.45">
      <c r="A29" s="6" t="s">
        <v>83</v>
      </c>
      <c r="B29" s="16">
        <v>70</v>
      </c>
      <c r="C29" s="16">
        <v>90</v>
      </c>
      <c r="D29" s="16">
        <v>85.5</v>
      </c>
      <c r="E29" s="16">
        <v>72</v>
      </c>
      <c r="F29" s="13">
        <v>25</v>
      </c>
      <c r="G29" s="13">
        <v>97</v>
      </c>
      <c r="H29" s="16">
        <v>342.5</v>
      </c>
    </row>
    <row r="30" spans="1:8" x14ac:dyDescent="0.45">
      <c r="A30" s="6" t="s">
        <v>84</v>
      </c>
      <c r="B30" s="16">
        <v>60</v>
      </c>
      <c r="C30" s="16">
        <v>47</v>
      </c>
      <c r="D30" s="16">
        <v>87</v>
      </c>
      <c r="E30" s="16">
        <v>57</v>
      </c>
      <c r="F30" s="13">
        <v>35</v>
      </c>
      <c r="G30" s="13">
        <v>92</v>
      </c>
      <c r="H30" s="16">
        <v>286</v>
      </c>
    </row>
    <row r="31" spans="1:8" x14ac:dyDescent="0.45">
      <c r="A31" s="6" t="s">
        <v>85</v>
      </c>
      <c r="B31" s="16">
        <v>72</v>
      </c>
      <c r="C31" s="16">
        <v>78</v>
      </c>
      <c r="D31" s="16">
        <v>82</v>
      </c>
      <c r="E31" s="16">
        <v>75</v>
      </c>
      <c r="F31" s="13">
        <v>20</v>
      </c>
      <c r="G31" s="13">
        <v>95</v>
      </c>
      <c r="H31" s="16">
        <v>327</v>
      </c>
    </row>
    <row r="32" spans="1:8" x14ac:dyDescent="0.45">
      <c r="A32" s="6" t="s">
        <v>86</v>
      </c>
      <c r="B32" s="16">
        <v>70</v>
      </c>
      <c r="C32" s="16">
        <v>85</v>
      </c>
      <c r="D32" s="16">
        <v>39</v>
      </c>
      <c r="E32" s="16">
        <v>72</v>
      </c>
      <c r="F32" s="13">
        <v>15</v>
      </c>
      <c r="G32" s="13">
        <v>87</v>
      </c>
      <c r="H32" s="16">
        <v>281</v>
      </c>
    </row>
    <row r="33" spans="1:8" x14ac:dyDescent="0.45">
      <c r="A33" s="6" t="s">
        <v>87</v>
      </c>
      <c r="B33" s="16">
        <v>56</v>
      </c>
      <c r="C33" s="16">
        <v>78</v>
      </c>
      <c r="D33" s="16">
        <v>48</v>
      </c>
      <c r="E33" s="16">
        <v>54</v>
      </c>
      <c r="F33" s="13">
        <v>18</v>
      </c>
      <c r="G33" s="13">
        <v>72</v>
      </c>
      <c r="H33" s="16">
        <v>254</v>
      </c>
    </row>
    <row r="34" spans="1:8" x14ac:dyDescent="0.45">
      <c r="A34" s="6" t="s">
        <v>88</v>
      </c>
      <c r="B34" s="16">
        <v>72</v>
      </c>
      <c r="C34" s="16">
        <v>51</v>
      </c>
      <c r="D34" s="16">
        <v>85</v>
      </c>
      <c r="E34" s="16">
        <v>57</v>
      </c>
      <c r="F34" s="13">
        <v>22</v>
      </c>
      <c r="G34" s="13">
        <v>79</v>
      </c>
      <c r="H34" s="16">
        <v>287</v>
      </c>
    </row>
    <row r="35" spans="1:8" x14ac:dyDescent="0.45">
      <c r="A35" s="6" t="s">
        <v>89</v>
      </c>
      <c r="B35" s="16">
        <v>68</v>
      </c>
      <c r="C35" s="16">
        <v>88</v>
      </c>
      <c r="D35" s="16">
        <v>94.5</v>
      </c>
      <c r="E35" s="16">
        <v>75</v>
      </c>
      <c r="F35" s="13">
        <v>26</v>
      </c>
      <c r="G35" s="13">
        <v>101</v>
      </c>
      <c r="H35" s="16">
        <v>351.5</v>
      </c>
    </row>
    <row r="36" spans="1:8" x14ac:dyDescent="0.45">
      <c r="A36" s="6" t="s">
        <v>90</v>
      </c>
      <c r="B36" s="16">
        <v>68</v>
      </c>
      <c r="C36" s="16">
        <v>81</v>
      </c>
      <c r="D36" s="16">
        <v>74</v>
      </c>
      <c r="E36" s="16">
        <v>60</v>
      </c>
      <c r="F36" s="13">
        <v>29</v>
      </c>
      <c r="G36" s="13">
        <v>89</v>
      </c>
      <c r="H36" s="16">
        <v>312</v>
      </c>
    </row>
    <row r="37" spans="1:8" x14ac:dyDescent="0.45">
      <c r="A37" s="6" t="s">
        <v>91</v>
      </c>
      <c r="B37" s="16">
        <v>62</v>
      </c>
      <c r="C37" s="16">
        <v>75</v>
      </c>
      <c r="D37" s="16">
        <v>63</v>
      </c>
      <c r="E37" s="16">
        <v>69</v>
      </c>
      <c r="F37" s="13">
        <v>15</v>
      </c>
      <c r="G37" s="13">
        <v>84</v>
      </c>
      <c r="H37" s="16">
        <v>284</v>
      </c>
    </row>
    <row r="38" spans="1:8" x14ac:dyDescent="0.45">
      <c r="A38" s="6" t="s">
        <v>92</v>
      </c>
      <c r="B38" s="16">
        <v>64</v>
      </c>
      <c r="C38" s="16">
        <v>68</v>
      </c>
      <c r="D38" s="16">
        <v>78</v>
      </c>
      <c r="E38" s="16" t="s">
        <v>38</v>
      </c>
      <c r="F38" s="13" t="s">
        <v>38</v>
      </c>
      <c r="G38" s="13" t="s">
        <v>38</v>
      </c>
      <c r="H38" s="16" t="s">
        <v>38</v>
      </c>
    </row>
    <row r="39" spans="1:8" x14ac:dyDescent="0.45">
      <c r="A39" s="6" t="s">
        <v>93</v>
      </c>
      <c r="B39" s="16">
        <v>70</v>
      </c>
      <c r="C39" s="16">
        <v>64</v>
      </c>
      <c r="D39" s="16">
        <v>77</v>
      </c>
      <c r="E39" s="16">
        <v>66</v>
      </c>
      <c r="F39" s="13">
        <v>24</v>
      </c>
      <c r="G39" s="13">
        <v>90</v>
      </c>
      <c r="H39" s="16">
        <v>301</v>
      </c>
    </row>
    <row r="40" spans="1:8" x14ac:dyDescent="0.45">
      <c r="A40" s="6" t="s">
        <v>94</v>
      </c>
      <c r="B40" s="16">
        <v>66</v>
      </c>
      <c r="C40" s="16">
        <v>70</v>
      </c>
      <c r="D40" s="16">
        <v>81.5</v>
      </c>
      <c r="E40" s="16">
        <v>66</v>
      </c>
      <c r="F40" s="13">
        <v>14</v>
      </c>
      <c r="G40" s="13">
        <v>80</v>
      </c>
      <c r="H40" s="16">
        <v>297.5</v>
      </c>
    </row>
    <row r="41" spans="1:8" x14ac:dyDescent="0.45">
      <c r="A41" s="6" t="s">
        <v>95</v>
      </c>
      <c r="B41" s="16">
        <v>64</v>
      </c>
      <c r="C41" s="16">
        <v>79</v>
      </c>
      <c r="D41" s="16">
        <v>86</v>
      </c>
      <c r="E41" s="16">
        <v>66</v>
      </c>
      <c r="F41" s="13">
        <v>14</v>
      </c>
      <c r="G41" s="13">
        <v>80</v>
      </c>
      <c r="H41" s="16">
        <v>309</v>
      </c>
    </row>
    <row r="42" spans="1:8" x14ac:dyDescent="0.45">
      <c r="A42" s="6" t="s">
        <v>96</v>
      </c>
      <c r="B42" s="16">
        <v>56</v>
      </c>
      <c r="C42" s="16">
        <v>74</v>
      </c>
      <c r="D42" s="16">
        <v>77.5</v>
      </c>
      <c r="E42" s="16">
        <v>63</v>
      </c>
      <c r="F42" s="13">
        <v>15</v>
      </c>
      <c r="G42" s="13">
        <v>78</v>
      </c>
      <c r="H42" s="16">
        <v>285.5</v>
      </c>
    </row>
    <row r="43" spans="1:8" x14ac:dyDescent="0.45">
      <c r="A43" s="6" t="s">
        <v>97</v>
      </c>
      <c r="B43" s="16">
        <v>56</v>
      </c>
      <c r="C43" s="16">
        <v>86</v>
      </c>
      <c r="D43" s="16">
        <v>66</v>
      </c>
      <c r="E43" s="16">
        <v>72</v>
      </c>
      <c r="F43" s="13">
        <v>26</v>
      </c>
      <c r="G43" s="13">
        <v>98</v>
      </c>
      <c r="H43" s="16">
        <v>306</v>
      </c>
    </row>
    <row r="44" spans="1:8" x14ac:dyDescent="0.45">
      <c r="A44" s="6" t="s">
        <v>98</v>
      </c>
      <c r="B44" s="16">
        <v>74</v>
      </c>
      <c r="C44" s="16">
        <v>91</v>
      </c>
      <c r="D44" s="16">
        <v>74.5</v>
      </c>
      <c r="E44" s="16">
        <v>72</v>
      </c>
      <c r="F44" s="13">
        <v>28</v>
      </c>
      <c r="G44" s="13">
        <v>100</v>
      </c>
      <c r="H44" s="16">
        <v>339.5</v>
      </c>
    </row>
    <row r="45" spans="1:8" ht="15" x14ac:dyDescent="0.45">
      <c r="A45" s="26" t="s">
        <v>99</v>
      </c>
      <c r="B45" s="16">
        <v>66</v>
      </c>
      <c r="C45" s="16">
        <v>79</v>
      </c>
      <c r="D45" s="16">
        <v>41</v>
      </c>
      <c r="E45" s="16">
        <v>57</v>
      </c>
      <c r="F45" s="13">
        <v>20</v>
      </c>
      <c r="G45" s="13">
        <v>77</v>
      </c>
      <c r="H45" s="16">
        <v>263</v>
      </c>
    </row>
    <row r="46" spans="1:8" ht="15" x14ac:dyDescent="0.45">
      <c r="A46" s="26" t="s">
        <v>100</v>
      </c>
      <c r="B46" s="16">
        <v>44</v>
      </c>
      <c r="C46" s="16">
        <v>91</v>
      </c>
      <c r="D46" s="16">
        <v>80.5</v>
      </c>
      <c r="E46" s="16">
        <v>48</v>
      </c>
      <c r="F46" s="13">
        <v>11</v>
      </c>
      <c r="G46" s="13">
        <v>59</v>
      </c>
      <c r="H46" s="16">
        <v>274.5</v>
      </c>
    </row>
    <row r="47" spans="1:8" ht="16.5" x14ac:dyDescent="0.45">
      <c r="A47" s="27" t="s">
        <v>101</v>
      </c>
      <c r="B47" s="16">
        <v>56</v>
      </c>
      <c r="C47" s="16">
        <v>67</v>
      </c>
      <c r="D47" s="16">
        <v>76.5</v>
      </c>
      <c r="E47" s="16">
        <v>66</v>
      </c>
      <c r="F47" s="13">
        <v>14</v>
      </c>
      <c r="G47" s="13">
        <v>80</v>
      </c>
      <c r="H47" s="16">
        <v>279.5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H1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175" zoomScaleNormal="17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17.53515625" defaultRowHeight="14.5" x14ac:dyDescent="0.45"/>
  <cols>
    <col min="1" max="1" width="7.23046875" style="1" bestFit="1" customWidth="1"/>
    <col min="2" max="2" width="10" style="18" bestFit="1" customWidth="1"/>
    <col min="3" max="3" width="10" style="1" bestFit="1" customWidth="1"/>
    <col min="4" max="4" width="13.3046875" style="1" bestFit="1" customWidth="1"/>
    <col min="5" max="5" width="10" style="1" bestFit="1" customWidth="1"/>
    <col min="6" max="6" width="9.53515625" style="1" bestFit="1" customWidth="1"/>
    <col min="7" max="7" width="14.07421875" style="1" bestFit="1" customWidth="1"/>
    <col min="8" max="8" width="10" style="1" bestFit="1" customWidth="1"/>
    <col min="9" max="16384" width="17.53515625" style="1"/>
  </cols>
  <sheetData>
    <row r="1" spans="1:8" x14ac:dyDescent="0.45">
      <c r="A1" s="2"/>
      <c r="B1" s="71" t="s">
        <v>380</v>
      </c>
      <c r="C1" s="30"/>
      <c r="D1" s="30"/>
      <c r="E1" s="30"/>
      <c r="F1" s="30"/>
      <c r="G1" s="30"/>
      <c r="H1" s="30"/>
    </row>
    <row r="2" spans="1:8" x14ac:dyDescent="0.45">
      <c r="A2" s="6" t="s">
        <v>0</v>
      </c>
      <c r="B2" s="61" t="s">
        <v>381</v>
      </c>
      <c r="C2" s="62" t="s">
        <v>382</v>
      </c>
      <c r="D2" s="62" t="s">
        <v>383</v>
      </c>
      <c r="E2" s="63" t="s">
        <v>384</v>
      </c>
      <c r="F2" s="64" t="s">
        <v>385</v>
      </c>
      <c r="G2" s="64" t="s">
        <v>387</v>
      </c>
      <c r="H2" s="65" t="s">
        <v>386</v>
      </c>
    </row>
    <row r="3" spans="1:8" ht="16.5" x14ac:dyDescent="0.45">
      <c r="A3" s="6" t="s">
        <v>102</v>
      </c>
      <c r="B3" s="3" t="s">
        <v>4</v>
      </c>
      <c r="C3" s="4" t="s">
        <v>4</v>
      </c>
      <c r="D3" s="4" t="s">
        <v>4</v>
      </c>
      <c r="E3" s="6" t="s">
        <v>4</v>
      </c>
      <c r="F3" s="6" t="s">
        <v>4</v>
      </c>
      <c r="G3" s="15" t="s">
        <v>4</v>
      </c>
      <c r="H3" s="6" t="s">
        <v>4</v>
      </c>
    </row>
    <row r="4" spans="1:8" x14ac:dyDescent="0.45">
      <c r="A4" s="6" t="s">
        <v>103</v>
      </c>
      <c r="B4" s="20">
        <v>84</v>
      </c>
      <c r="C4" s="8">
        <v>87</v>
      </c>
      <c r="D4" s="8">
        <v>58</v>
      </c>
      <c r="E4" s="8">
        <v>75</v>
      </c>
      <c r="F4" s="8">
        <v>24</v>
      </c>
      <c r="G4" s="15">
        <v>99</v>
      </c>
      <c r="H4" s="8">
        <f t="shared" ref="H4:H7" si="0">SUM(B4:F4)</f>
        <v>328</v>
      </c>
    </row>
    <row r="5" spans="1:8" x14ac:dyDescent="0.45">
      <c r="A5" s="6" t="s">
        <v>104</v>
      </c>
      <c r="B5" s="20">
        <v>72</v>
      </c>
      <c r="C5" s="8">
        <v>68</v>
      </c>
      <c r="D5" s="8">
        <v>64.5</v>
      </c>
      <c r="E5" s="8">
        <v>69</v>
      </c>
      <c r="F5" s="8">
        <v>28</v>
      </c>
      <c r="G5" s="15">
        <v>97</v>
      </c>
      <c r="H5" s="8">
        <f t="shared" si="0"/>
        <v>301.5</v>
      </c>
    </row>
    <row r="6" spans="1:8" x14ac:dyDescent="0.45">
      <c r="A6" s="6" t="s">
        <v>105</v>
      </c>
      <c r="B6" s="20">
        <v>56</v>
      </c>
      <c r="C6" s="8">
        <v>64</v>
      </c>
      <c r="D6" s="8">
        <v>51.5</v>
      </c>
      <c r="E6" s="8">
        <v>63</v>
      </c>
      <c r="F6" s="8">
        <v>19</v>
      </c>
      <c r="G6" s="15">
        <v>82</v>
      </c>
      <c r="H6" s="8">
        <f t="shared" si="0"/>
        <v>253.5</v>
      </c>
    </row>
    <row r="7" spans="1:8" x14ac:dyDescent="0.45">
      <c r="A7" s="6" t="s">
        <v>106</v>
      </c>
      <c r="B7" s="20">
        <v>88</v>
      </c>
      <c r="C7" s="8">
        <v>91</v>
      </c>
      <c r="D7" s="8">
        <v>78</v>
      </c>
      <c r="E7" s="8">
        <v>72</v>
      </c>
      <c r="F7" s="8">
        <v>20</v>
      </c>
      <c r="G7" s="15">
        <v>92</v>
      </c>
      <c r="H7" s="8">
        <f t="shared" si="0"/>
        <v>349</v>
      </c>
    </row>
    <row r="8" spans="1:8" x14ac:dyDescent="0.45">
      <c r="A8" s="6" t="s">
        <v>107</v>
      </c>
      <c r="B8" s="11" t="s">
        <v>4</v>
      </c>
      <c r="C8" s="6" t="s">
        <v>4</v>
      </c>
      <c r="D8" s="6" t="s">
        <v>4</v>
      </c>
      <c r="E8" s="6" t="s">
        <v>4</v>
      </c>
      <c r="F8" s="6" t="s">
        <v>4</v>
      </c>
      <c r="G8" s="15" t="s">
        <v>4</v>
      </c>
      <c r="H8" s="6" t="s">
        <v>4</v>
      </c>
    </row>
    <row r="9" spans="1:8" x14ac:dyDescent="0.45">
      <c r="A9" s="6" t="s">
        <v>108</v>
      </c>
      <c r="B9" s="20">
        <v>76</v>
      </c>
      <c r="C9" s="8">
        <v>60</v>
      </c>
      <c r="D9" s="8">
        <v>76</v>
      </c>
      <c r="E9" s="8">
        <v>66</v>
      </c>
      <c r="F9" s="8">
        <v>26</v>
      </c>
      <c r="G9" s="15">
        <v>92</v>
      </c>
      <c r="H9" s="8">
        <f t="shared" ref="H9:H25" si="1">SUM(B9:F9)</f>
        <v>304</v>
      </c>
    </row>
    <row r="10" spans="1:8" x14ac:dyDescent="0.45">
      <c r="A10" s="6" t="s">
        <v>109</v>
      </c>
      <c r="B10" s="20">
        <v>70</v>
      </c>
      <c r="C10" s="8">
        <v>59</v>
      </c>
      <c r="D10" s="8">
        <v>55.5</v>
      </c>
      <c r="E10" s="8">
        <v>54</v>
      </c>
      <c r="F10" s="8">
        <v>15</v>
      </c>
      <c r="G10" s="15">
        <v>69</v>
      </c>
      <c r="H10" s="8">
        <f t="shared" si="1"/>
        <v>253.5</v>
      </c>
    </row>
    <row r="11" spans="1:8" x14ac:dyDescent="0.45">
      <c r="A11" s="6" t="s">
        <v>110</v>
      </c>
      <c r="B11" s="20">
        <v>68</v>
      </c>
      <c r="C11" s="8">
        <v>75</v>
      </c>
      <c r="D11" s="8">
        <v>78.5</v>
      </c>
      <c r="E11" s="8">
        <v>57</v>
      </c>
      <c r="F11" s="8">
        <v>27</v>
      </c>
      <c r="G11" s="15">
        <v>84</v>
      </c>
      <c r="H11" s="8">
        <f t="shared" si="1"/>
        <v>305.5</v>
      </c>
    </row>
    <row r="12" spans="1:8" x14ac:dyDescent="0.45">
      <c r="A12" s="6" t="s">
        <v>111</v>
      </c>
      <c r="B12" s="20">
        <v>68</v>
      </c>
      <c r="C12" s="8">
        <v>34</v>
      </c>
      <c r="D12" s="8">
        <v>64.5</v>
      </c>
      <c r="E12" s="8">
        <v>57</v>
      </c>
      <c r="F12" s="8">
        <v>21</v>
      </c>
      <c r="G12" s="15">
        <v>78</v>
      </c>
      <c r="H12" s="8">
        <f t="shared" si="1"/>
        <v>244.5</v>
      </c>
    </row>
    <row r="13" spans="1:8" x14ac:dyDescent="0.45">
      <c r="A13" s="6" t="s">
        <v>112</v>
      </c>
      <c r="B13" s="20">
        <v>66</v>
      </c>
      <c r="C13" s="8">
        <v>61</v>
      </c>
      <c r="D13" s="8">
        <v>67.5</v>
      </c>
      <c r="E13" s="8">
        <v>60</v>
      </c>
      <c r="F13" s="8">
        <v>29</v>
      </c>
      <c r="G13" s="15">
        <v>89</v>
      </c>
      <c r="H13" s="8">
        <f t="shared" si="1"/>
        <v>283.5</v>
      </c>
    </row>
    <row r="14" spans="1:8" x14ac:dyDescent="0.45">
      <c r="A14" s="6" t="s">
        <v>113</v>
      </c>
      <c r="B14" s="20">
        <v>78</v>
      </c>
      <c r="C14" s="8">
        <v>58</v>
      </c>
      <c r="D14" s="8">
        <v>51</v>
      </c>
      <c r="E14" s="8">
        <v>72</v>
      </c>
      <c r="F14" s="8">
        <v>22</v>
      </c>
      <c r="G14" s="15">
        <v>94</v>
      </c>
      <c r="H14" s="8">
        <f t="shared" si="1"/>
        <v>281</v>
      </c>
    </row>
    <row r="15" spans="1:8" x14ac:dyDescent="0.45">
      <c r="A15" s="6" t="s">
        <v>114</v>
      </c>
      <c r="B15" s="20">
        <v>46</v>
      </c>
      <c r="C15" s="8">
        <v>30</v>
      </c>
      <c r="D15" s="8">
        <v>55.5</v>
      </c>
      <c r="E15" s="8">
        <v>45</v>
      </c>
      <c r="F15" s="8">
        <v>18</v>
      </c>
      <c r="G15" s="15">
        <v>63</v>
      </c>
      <c r="H15" s="8">
        <f t="shared" si="1"/>
        <v>194.5</v>
      </c>
    </row>
    <row r="16" spans="1:8" x14ac:dyDescent="0.45">
      <c r="A16" s="6" t="s">
        <v>115</v>
      </c>
      <c r="B16" s="20">
        <v>62</v>
      </c>
      <c r="C16" s="8">
        <v>52</v>
      </c>
      <c r="D16" s="8">
        <v>66</v>
      </c>
      <c r="E16" s="8">
        <v>66</v>
      </c>
      <c r="F16" s="8">
        <v>18</v>
      </c>
      <c r="G16" s="15">
        <v>84</v>
      </c>
      <c r="H16" s="8">
        <f t="shared" si="1"/>
        <v>264</v>
      </c>
    </row>
    <row r="17" spans="1:8" x14ac:dyDescent="0.45">
      <c r="A17" s="6" t="s">
        <v>116</v>
      </c>
      <c r="B17" s="20">
        <v>62</v>
      </c>
      <c r="C17" s="8">
        <v>66</v>
      </c>
      <c r="D17" s="8">
        <v>72</v>
      </c>
      <c r="E17" s="8">
        <v>60</v>
      </c>
      <c r="F17" s="8">
        <v>16</v>
      </c>
      <c r="G17" s="15">
        <v>76</v>
      </c>
      <c r="H17" s="8">
        <f t="shared" si="1"/>
        <v>276</v>
      </c>
    </row>
    <row r="18" spans="1:8" x14ac:dyDescent="0.45">
      <c r="A18" s="6" t="s">
        <v>117</v>
      </c>
      <c r="B18" s="20">
        <v>54</v>
      </c>
      <c r="C18" s="8">
        <v>96</v>
      </c>
      <c r="D18" s="8">
        <v>70</v>
      </c>
      <c r="E18" s="8">
        <v>75</v>
      </c>
      <c r="F18" s="8">
        <v>22</v>
      </c>
      <c r="G18" s="15">
        <v>97</v>
      </c>
      <c r="H18" s="8">
        <f t="shared" si="1"/>
        <v>317</v>
      </c>
    </row>
    <row r="19" spans="1:8" x14ac:dyDescent="0.45">
      <c r="A19" s="6" t="s">
        <v>118</v>
      </c>
      <c r="B19" s="20">
        <v>60</v>
      </c>
      <c r="C19" s="8">
        <v>78</v>
      </c>
      <c r="D19" s="8">
        <v>83</v>
      </c>
      <c r="E19" s="8">
        <v>75</v>
      </c>
      <c r="F19" s="8">
        <v>26</v>
      </c>
      <c r="G19" s="15">
        <v>101</v>
      </c>
      <c r="H19" s="8">
        <f t="shared" si="1"/>
        <v>322</v>
      </c>
    </row>
    <row r="20" spans="1:8" x14ac:dyDescent="0.45">
      <c r="A20" s="6" t="s">
        <v>119</v>
      </c>
      <c r="B20" s="20">
        <v>68</v>
      </c>
      <c r="C20" s="8">
        <v>55</v>
      </c>
      <c r="D20" s="8">
        <v>63</v>
      </c>
      <c r="E20" s="8">
        <v>66</v>
      </c>
      <c r="F20" s="8">
        <v>25</v>
      </c>
      <c r="G20" s="15">
        <v>91</v>
      </c>
      <c r="H20" s="8">
        <f t="shared" si="1"/>
        <v>277</v>
      </c>
    </row>
    <row r="21" spans="1:8" x14ac:dyDescent="0.45">
      <c r="A21" s="6" t="s">
        <v>120</v>
      </c>
      <c r="B21" s="20">
        <v>54</v>
      </c>
      <c r="C21" s="8">
        <v>62</v>
      </c>
      <c r="D21" s="8">
        <v>66.5</v>
      </c>
      <c r="E21" s="8">
        <v>60</v>
      </c>
      <c r="F21" s="8">
        <v>21</v>
      </c>
      <c r="G21" s="15">
        <v>81</v>
      </c>
      <c r="H21" s="8">
        <f t="shared" si="1"/>
        <v>263.5</v>
      </c>
    </row>
    <row r="22" spans="1:8" x14ac:dyDescent="0.45">
      <c r="A22" s="6" t="s">
        <v>121</v>
      </c>
      <c r="B22" s="20">
        <v>60</v>
      </c>
      <c r="C22" s="8">
        <v>75</v>
      </c>
      <c r="D22" s="8">
        <v>66</v>
      </c>
      <c r="E22" s="8">
        <v>75</v>
      </c>
      <c r="F22" s="8">
        <v>20</v>
      </c>
      <c r="G22" s="15">
        <v>95</v>
      </c>
      <c r="H22" s="8">
        <f t="shared" si="1"/>
        <v>296</v>
      </c>
    </row>
    <row r="23" spans="1:8" x14ac:dyDescent="0.45">
      <c r="A23" s="6" t="s">
        <v>122</v>
      </c>
      <c r="B23" s="20">
        <v>72</v>
      </c>
      <c r="C23" s="8">
        <v>94</v>
      </c>
      <c r="D23" s="8">
        <v>69</v>
      </c>
      <c r="E23" s="8">
        <v>72</v>
      </c>
      <c r="F23" s="8">
        <v>27</v>
      </c>
      <c r="G23" s="15">
        <v>99</v>
      </c>
      <c r="H23" s="8">
        <f t="shared" si="1"/>
        <v>334</v>
      </c>
    </row>
    <row r="24" spans="1:8" x14ac:dyDescent="0.45">
      <c r="A24" s="6" t="s">
        <v>123</v>
      </c>
      <c r="B24" s="19">
        <v>68</v>
      </c>
      <c r="C24" s="2">
        <v>79</v>
      </c>
      <c r="D24" s="2">
        <v>76.5</v>
      </c>
      <c r="E24" s="8">
        <v>69</v>
      </c>
      <c r="F24" s="8">
        <v>19</v>
      </c>
      <c r="G24" s="15">
        <v>88</v>
      </c>
      <c r="H24" s="8">
        <f t="shared" si="1"/>
        <v>311.5</v>
      </c>
    </row>
    <row r="25" spans="1:8" x14ac:dyDescent="0.45">
      <c r="A25" s="6" t="s">
        <v>124</v>
      </c>
      <c r="B25" s="11">
        <v>54</v>
      </c>
      <c r="C25" s="6">
        <v>88</v>
      </c>
      <c r="D25" s="6">
        <v>57</v>
      </c>
      <c r="E25" s="8">
        <v>63</v>
      </c>
      <c r="F25" s="8">
        <v>20</v>
      </c>
      <c r="G25" s="15">
        <v>83</v>
      </c>
      <c r="H25" s="8">
        <f t="shared" si="1"/>
        <v>282</v>
      </c>
    </row>
    <row r="26" spans="1:8" x14ac:dyDescent="0.45">
      <c r="A26" s="6" t="s">
        <v>125</v>
      </c>
      <c r="B26" s="11" t="s">
        <v>4</v>
      </c>
      <c r="C26" s="6" t="s">
        <v>4</v>
      </c>
      <c r="D26" s="6" t="s">
        <v>4</v>
      </c>
      <c r="E26" s="6" t="s">
        <v>4</v>
      </c>
      <c r="F26" s="6" t="s">
        <v>4</v>
      </c>
      <c r="G26" s="15" t="s">
        <v>4</v>
      </c>
      <c r="H26" s="6" t="s">
        <v>4</v>
      </c>
    </row>
    <row r="27" spans="1:8" x14ac:dyDescent="0.45">
      <c r="A27" s="6" t="s">
        <v>126</v>
      </c>
      <c r="B27" s="20">
        <v>62</v>
      </c>
      <c r="C27" s="8">
        <v>64</v>
      </c>
      <c r="D27" s="8">
        <v>85</v>
      </c>
      <c r="E27" s="8">
        <v>63</v>
      </c>
      <c r="F27" s="8">
        <v>23</v>
      </c>
      <c r="G27" s="15">
        <v>86</v>
      </c>
      <c r="H27" s="8">
        <f t="shared" ref="H27:H31" si="2">SUM(B27:F27)</f>
        <v>297</v>
      </c>
    </row>
    <row r="28" spans="1:8" x14ac:dyDescent="0.45">
      <c r="A28" s="6" t="s">
        <v>127</v>
      </c>
      <c r="B28" s="20">
        <v>66</v>
      </c>
      <c r="C28" s="8">
        <v>75</v>
      </c>
      <c r="D28" s="8">
        <v>61.5</v>
      </c>
      <c r="E28" s="8">
        <v>72</v>
      </c>
      <c r="F28" s="8">
        <v>15</v>
      </c>
      <c r="G28" s="15">
        <v>87</v>
      </c>
      <c r="H28" s="8">
        <f t="shared" si="2"/>
        <v>289.5</v>
      </c>
    </row>
    <row r="29" spans="1:8" x14ac:dyDescent="0.45">
      <c r="A29" s="6" t="s">
        <v>128</v>
      </c>
      <c r="B29" s="20">
        <v>60</v>
      </c>
      <c r="C29" s="8">
        <v>75</v>
      </c>
      <c r="D29" s="8">
        <v>63.5</v>
      </c>
      <c r="E29" s="8">
        <v>72</v>
      </c>
      <c r="F29" s="8">
        <v>24</v>
      </c>
      <c r="G29" s="15">
        <v>96</v>
      </c>
      <c r="H29" s="8">
        <f t="shared" si="2"/>
        <v>294.5</v>
      </c>
    </row>
    <row r="30" spans="1:8" x14ac:dyDescent="0.45">
      <c r="A30" s="6" t="s">
        <v>129</v>
      </c>
      <c r="B30" s="20">
        <v>62</v>
      </c>
      <c r="C30" s="8">
        <v>68</v>
      </c>
      <c r="D30" s="8">
        <v>75.5</v>
      </c>
      <c r="E30" s="8">
        <v>54</v>
      </c>
      <c r="F30" s="8">
        <v>28</v>
      </c>
      <c r="G30" s="15">
        <v>82</v>
      </c>
      <c r="H30" s="8">
        <f t="shared" si="2"/>
        <v>287.5</v>
      </c>
    </row>
    <row r="31" spans="1:8" x14ac:dyDescent="0.45">
      <c r="A31" s="6" t="s">
        <v>130</v>
      </c>
      <c r="B31" s="20">
        <v>60</v>
      </c>
      <c r="C31" s="8">
        <v>76</v>
      </c>
      <c r="D31" s="8">
        <v>56</v>
      </c>
      <c r="E31" s="8">
        <v>72</v>
      </c>
      <c r="F31" s="8">
        <v>15</v>
      </c>
      <c r="G31" s="15">
        <v>87</v>
      </c>
      <c r="H31" s="8">
        <f t="shared" si="2"/>
        <v>279</v>
      </c>
    </row>
    <row r="32" spans="1:8" x14ac:dyDescent="0.45">
      <c r="A32" s="6" t="s">
        <v>131</v>
      </c>
      <c r="B32" s="11" t="s">
        <v>4</v>
      </c>
      <c r="C32" s="6" t="s">
        <v>4</v>
      </c>
      <c r="D32" s="6" t="s">
        <v>4</v>
      </c>
      <c r="E32" s="6" t="s">
        <v>4</v>
      </c>
      <c r="F32" s="6" t="s">
        <v>4</v>
      </c>
      <c r="G32" s="15" t="s">
        <v>4</v>
      </c>
      <c r="H32" s="6" t="s">
        <v>4</v>
      </c>
    </row>
    <row r="33" spans="1:8" x14ac:dyDescent="0.45">
      <c r="A33" s="6" t="s">
        <v>132</v>
      </c>
      <c r="B33" s="20">
        <v>52</v>
      </c>
      <c r="C33" s="8">
        <v>58</v>
      </c>
      <c r="D33" s="8">
        <v>66.5</v>
      </c>
      <c r="E33" s="8">
        <v>69</v>
      </c>
      <c r="F33" s="8">
        <v>13</v>
      </c>
      <c r="G33" s="15">
        <v>82</v>
      </c>
      <c r="H33" s="8">
        <f t="shared" ref="H33:H38" si="3">SUM(B33:F33)</f>
        <v>258.5</v>
      </c>
    </row>
    <row r="34" spans="1:8" x14ac:dyDescent="0.45">
      <c r="A34" s="6" t="s">
        <v>133</v>
      </c>
      <c r="B34" s="20">
        <v>54</v>
      </c>
      <c r="C34" s="8">
        <v>38</v>
      </c>
      <c r="D34" s="8">
        <v>46.5</v>
      </c>
      <c r="E34" s="8">
        <v>48</v>
      </c>
      <c r="F34" s="8">
        <v>10</v>
      </c>
      <c r="G34" s="15">
        <v>58</v>
      </c>
      <c r="H34" s="8">
        <f t="shared" si="3"/>
        <v>196.5</v>
      </c>
    </row>
    <row r="35" spans="1:8" x14ac:dyDescent="0.45">
      <c r="A35" s="6" t="s">
        <v>134</v>
      </c>
      <c r="B35" s="20">
        <v>84</v>
      </c>
      <c r="C35" s="8">
        <v>79</v>
      </c>
      <c r="D35" s="8">
        <v>68.5</v>
      </c>
      <c r="E35" s="8">
        <v>69</v>
      </c>
      <c r="F35" s="8">
        <v>28</v>
      </c>
      <c r="G35" s="15">
        <v>97</v>
      </c>
      <c r="H35" s="8">
        <f t="shared" si="3"/>
        <v>328.5</v>
      </c>
    </row>
    <row r="36" spans="1:8" x14ac:dyDescent="0.45">
      <c r="A36" s="24" t="s">
        <v>135</v>
      </c>
      <c r="B36" s="25">
        <v>44</v>
      </c>
      <c r="C36" s="17">
        <v>54</v>
      </c>
      <c r="D36" s="17">
        <v>63</v>
      </c>
      <c r="E36" s="17">
        <v>72</v>
      </c>
      <c r="F36" s="17">
        <v>24</v>
      </c>
      <c r="G36" s="15">
        <v>96</v>
      </c>
      <c r="H36" s="8">
        <f t="shared" si="3"/>
        <v>257</v>
      </c>
    </row>
    <row r="37" spans="1:8" s="8" customFormat="1" x14ac:dyDescent="0.45">
      <c r="A37" s="6" t="s">
        <v>136</v>
      </c>
      <c r="B37" s="20">
        <v>80</v>
      </c>
      <c r="C37" s="8">
        <v>99</v>
      </c>
      <c r="D37" s="8">
        <v>74</v>
      </c>
      <c r="E37" s="8">
        <v>75</v>
      </c>
      <c r="F37" s="8">
        <v>26</v>
      </c>
      <c r="G37" s="15">
        <v>101</v>
      </c>
      <c r="H37" s="8">
        <f t="shared" si="3"/>
        <v>354</v>
      </c>
    </row>
    <row r="38" spans="1:8" s="8" customFormat="1" x14ac:dyDescent="0.45">
      <c r="A38" s="6" t="s">
        <v>137</v>
      </c>
      <c r="B38" s="20">
        <v>66</v>
      </c>
      <c r="C38" s="8">
        <v>95</v>
      </c>
      <c r="D38" s="8">
        <v>81.5</v>
      </c>
      <c r="E38" s="8">
        <v>75</v>
      </c>
      <c r="F38" s="8">
        <v>27</v>
      </c>
      <c r="G38" s="15">
        <v>102</v>
      </c>
      <c r="H38" s="8">
        <f t="shared" si="3"/>
        <v>344.5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H1"/>
  </mergeCells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11.3046875" defaultRowHeight="14.5" x14ac:dyDescent="0.45"/>
  <cols>
    <col min="1" max="1" width="5.69140625" style="1" bestFit="1" customWidth="1"/>
    <col min="2" max="3" width="10" style="1" bestFit="1" customWidth="1"/>
    <col min="4" max="4" width="13.3046875" style="1" bestFit="1" customWidth="1"/>
    <col min="5" max="5" width="10" style="1" bestFit="1" customWidth="1"/>
    <col min="6" max="6" width="9.53515625" style="1" bestFit="1" customWidth="1"/>
    <col min="7" max="7" width="14.07421875" style="1" bestFit="1" customWidth="1"/>
    <col min="8" max="8" width="10" style="1" bestFit="1" customWidth="1"/>
    <col min="9" max="16384" width="11.3046875" style="1"/>
  </cols>
  <sheetData>
    <row r="1" spans="1:8" x14ac:dyDescent="0.45">
      <c r="A1" s="2"/>
      <c r="B1" s="70" t="s">
        <v>380</v>
      </c>
      <c r="C1" s="68"/>
      <c r="D1" s="68"/>
      <c r="E1" s="68"/>
      <c r="F1" s="68"/>
      <c r="G1" s="68"/>
      <c r="H1" s="68"/>
    </row>
    <row r="2" spans="1:8" x14ac:dyDescent="0.45">
      <c r="A2" s="15" t="s">
        <v>0</v>
      </c>
      <c r="B2" s="61" t="s">
        <v>381</v>
      </c>
      <c r="C2" s="62" t="s">
        <v>382</v>
      </c>
      <c r="D2" s="62" t="s">
        <v>383</v>
      </c>
      <c r="E2" s="63" t="s">
        <v>384</v>
      </c>
      <c r="F2" s="64" t="s">
        <v>385</v>
      </c>
      <c r="G2" s="64" t="s">
        <v>387</v>
      </c>
      <c r="H2" s="65" t="s">
        <v>386</v>
      </c>
    </row>
    <row r="3" spans="1:8" ht="16.5" x14ac:dyDescent="0.45">
      <c r="A3" s="15" t="s">
        <v>138</v>
      </c>
      <c r="B3" s="21">
        <v>78</v>
      </c>
      <c r="C3" s="4">
        <v>68</v>
      </c>
      <c r="D3" s="4">
        <v>87</v>
      </c>
      <c r="E3" s="13">
        <v>42</v>
      </c>
      <c r="F3" s="13">
        <v>72</v>
      </c>
      <c r="G3" s="1">
        <v>114</v>
      </c>
      <c r="H3" s="13">
        <f>SUM(B3:F3)</f>
        <v>347</v>
      </c>
    </row>
    <row r="4" spans="1:8" x14ac:dyDescent="0.45">
      <c r="A4" s="15" t="s">
        <v>139</v>
      </c>
      <c r="B4" s="22">
        <v>78</v>
      </c>
      <c r="C4" s="13">
        <v>88</v>
      </c>
      <c r="D4" s="13">
        <v>93</v>
      </c>
      <c r="E4" s="13">
        <v>31</v>
      </c>
      <c r="F4" s="13">
        <v>75</v>
      </c>
      <c r="G4" s="1">
        <v>106</v>
      </c>
      <c r="H4" s="13">
        <f>SUM(B4:F4)</f>
        <v>365</v>
      </c>
    </row>
    <row r="5" spans="1:8" x14ac:dyDescent="0.45">
      <c r="A5" s="15" t="s">
        <v>140</v>
      </c>
      <c r="B5" s="22" t="s">
        <v>38</v>
      </c>
      <c r="C5" s="13" t="s">
        <v>38</v>
      </c>
      <c r="D5" s="13" t="s">
        <v>38</v>
      </c>
      <c r="E5" s="13" t="s">
        <v>38</v>
      </c>
      <c r="F5" s="13" t="s">
        <v>38</v>
      </c>
      <c r="G5" s="13" t="s">
        <v>38</v>
      </c>
      <c r="H5" s="13" t="s">
        <v>38</v>
      </c>
    </row>
    <row r="6" spans="1:8" x14ac:dyDescent="0.45">
      <c r="A6" s="15" t="s">
        <v>141</v>
      </c>
      <c r="B6" s="22" t="s">
        <v>38</v>
      </c>
      <c r="C6" s="13" t="s">
        <v>38</v>
      </c>
      <c r="D6" s="13" t="s">
        <v>38</v>
      </c>
      <c r="E6" s="13" t="s">
        <v>38</v>
      </c>
      <c r="F6" s="13" t="s">
        <v>38</v>
      </c>
      <c r="G6" s="13" t="s">
        <v>38</v>
      </c>
      <c r="H6" s="13" t="s">
        <v>38</v>
      </c>
    </row>
    <row r="7" spans="1:8" x14ac:dyDescent="0.45">
      <c r="A7" s="15" t="s">
        <v>142</v>
      </c>
      <c r="B7" s="22">
        <v>40</v>
      </c>
      <c r="C7" s="13">
        <v>40</v>
      </c>
      <c r="D7" s="13">
        <v>74.5</v>
      </c>
      <c r="E7" s="13">
        <v>10</v>
      </c>
      <c r="F7" s="13">
        <v>45</v>
      </c>
      <c r="G7" s="1">
        <v>55</v>
      </c>
      <c r="H7" s="13">
        <f>SUM(B7:F7)</f>
        <v>209.5</v>
      </c>
    </row>
    <row r="8" spans="1:8" x14ac:dyDescent="0.45">
      <c r="A8" s="15" t="s">
        <v>143</v>
      </c>
      <c r="B8" s="22">
        <v>60</v>
      </c>
      <c r="C8" s="13">
        <v>32</v>
      </c>
      <c r="D8" s="13">
        <v>71</v>
      </c>
      <c r="E8" s="13">
        <v>22</v>
      </c>
      <c r="F8" s="13">
        <v>72</v>
      </c>
      <c r="G8" s="1">
        <v>94</v>
      </c>
      <c r="H8" s="13">
        <f>SUM(B8:F8)</f>
        <v>257</v>
      </c>
    </row>
    <row r="9" spans="1:8" x14ac:dyDescent="0.45">
      <c r="A9" s="15" t="s">
        <v>144</v>
      </c>
      <c r="B9" s="22">
        <v>74</v>
      </c>
      <c r="C9" s="13">
        <v>59</v>
      </c>
      <c r="D9" s="13">
        <v>77.5</v>
      </c>
      <c r="E9" s="13">
        <v>22</v>
      </c>
      <c r="F9" s="13">
        <v>66</v>
      </c>
      <c r="G9" s="1">
        <v>88</v>
      </c>
      <c r="H9" s="13">
        <f>SUM(B9:F9)</f>
        <v>298.5</v>
      </c>
    </row>
    <row r="10" spans="1:8" x14ac:dyDescent="0.45">
      <c r="A10" s="15" t="s">
        <v>145</v>
      </c>
      <c r="B10" s="22">
        <v>70</v>
      </c>
      <c r="C10" s="13">
        <v>68</v>
      </c>
      <c r="D10" s="13">
        <v>89</v>
      </c>
      <c r="E10" s="13">
        <v>21</v>
      </c>
      <c r="F10" s="13">
        <v>63</v>
      </c>
      <c r="G10" s="1">
        <v>84</v>
      </c>
      <c r="H10" s="13">
        <f>SUM(B10:F10)</f>
        <v>311</v>
      </c>
    </row>
    <row r="11" spans="1:8" x14ac:dyDescent="0.45">
      <c r="A11" s="15" t="s">
        <v>146</v>
      </c>
      <c r="B11" s="22">
        <v>70</v>
      </c>
      <c r="C11" s="13">
        <v>96</v>
      </c>
      <c r="D11" s="13">
        <v>81.5</v>
      </c>
      <c r="E11" s="13">
        <v>21</v>
      </c>
      <c r="F11" s="13">
        <v>72</v>
      </c>
      <c r="G11" s="1">
        <v>93</v>
      </c>
      <c r="H11" s="13">
        <f>SUM(B11:F11)</f>
        <v>340.5</v>
      </c>
    </row>
    <row r="12" spans="1:8" x14ac:dyDescent="0.45">
      <c r="A12" s="15" t="s">
        <v>147</v>
      </c>
      <c r="B12" s="22">
        <v>72</v>
      </c>
      <c r="C12" s="13">
        <v>90</v>
      </c>
      <c r="D12" s="13">
        <v>63.5</v>
      </c>
      <c r="E12" s="13">
        <v>24</v>
      </c>
      <c r="F12" s="13">
        <v>42</v>
      </c>
      <c r="G12" s="1">
        <v>66</v>
      </c>
      <c r="H12" s="13">
        <f>SUM(B12:F12)</f>
        <v>291.5</v>
      </c>
    </row>
    <row r="13" spans="1:8" x14ac:dyDescent="0.45">
      <c r="A13" s="15" t="s">
        <v>148</v>
      </c>
      <c r="B13" s="22">
        <v>64</v>
      </c>
      <c r="C13" s="13">
        <v>92</v>
      </c>
      <c r="D13" s="13">
        <v>76.5</v>
      </c>
      <c r="E13" s="13">
        <v>21</v>
      </c>
      <c r="F13" s="13">
        <v>75</v>
      </c>
      <c r="G13" s="1">
        <v>96</v>
      </c>
      <c r="H13" s="13">
        <f>SUM(B13:F13)</f>
        <v>328.5</v>
      </c>
    </row>
    <row r="14" spans="1:8" x14ac:dyDescent="0.45">
      <c r="A14" s="15" t="s">
        <v>149</v>
      </c>
      <c r="B14" s="22">
        <v>70</v>
      </c>
      <c r="C14" s="13">
        <v>75</v>
      </c>
      <c r="D14" s="13">
        <v>89.5</v>
      </c>
      <c r="E14" s="13">
        <v>28</v>
      </c>
      <c r="F14" s="13">
        <v>75</v>
      </c>
      <c r="G14" s="1">
        <v>103</v>
      </c>
      <c r="H14" s="13">
        <f>SUM(B14:F14)</f>
        <v>337.5</v>
      </c>
    </row>
    <row r="15" spans="1:8" x14ac:dyDescent="0.45">
      <c r="A15" s="15" t="s">
        <v>150</v>
      </c>
      <c r="B15" s="22">
        <v>76</v>
      </c>
      <c r="C15" s="13">
        <v>96</v>
      </c>
      <c r="D15" s="13">
        <v>89.5</v>
      </c>
      <c r="E15" s="13">
        <v>35</v>
      </c>
      <c r="F15" s="13">
        <v>75</v>
      </c>
      <c r="G15" s="1">
        <v>110</v>
      </c>
      <c r="H15" s="13">
        <f>SUM(B15:F15)</f>
        <v>371.5</v>
      </c>
    </row>
    <row r="16" spans="1:8" x14ac:dyDescent="0.45">
      <c r="A16" s="15" t="s">
        <v>151</v>
      </c>
      <c r="B16" s="22" t="s">
        <v>152</v>
      </c>
      <c r="C16" s="13">
        <v>96</v>
      </c>
      <c r="D16" s="13">
        <v>93</v>
      </c>
      <c r="E16" s="13">
        <v>26</v>
      </c>
      <c r="F16" s="13">
        <v>72</v>
      </c>
      <c r="G16" s="1">
        <v>98</v>
      </c>
      <c r="H16" s="13">
        <f>SUM(B16:F16)</f>
        <v>287</v>
      </c>
    </row>
    <row r="17" spans="1:8" x14ac:dyDescent="0.45">
      <c r="A17" s="15" t="s">
        <v>153</v>
      </c>
      <c r="B17" s="22">
        <v>68</v>
      </c>
      <c r="C17" s="13">
        <v>80</v>
      </c>
      <c r="D17" s="13">
        <v>77</v>
      </c>
      <c r="E17" s="13">
        <v>14</v>
      </c>
      <c r="F17" s="13">
        <v>69</v>
      </c>
      <c r="G17" s="1">
        <v>83</v>
      </c>
      <c r="H17" s="13">
        <f>SUM(B17:F17)</f>
        <v>308</v>
      </c>
    </row>
    <row r="18" spans="1:8" x14ac:dyDescent="0.45">
      <c r="A18" s="15" t="s">
        <v>154</v>
      </c>
      <c r="B18" s="22">
        <v>76</v>
      </c>
      <c r="C18" s="13">
        <v>92</v>
      </c>
      <c r="D18" s="13">
        <v>82</v>
      </c>
      <c r="E18" s="13">
        <v>41</v>
      </c>
      <c r="F18" s="13">
        <v>75</v>
      </c>
      <c r="G18" s="1">
        <v>116</v>
      </c>
      <c r="H18" s="13">
        <f>SUM(B18:F18)</f>
        <v>366</v>
      </c>
    </row>
    <row r="19" spans="1:8" x14ac:dyDescent="0.45">
      <c r="A19" s="15" t="s">
        <v>155</v>
      </c>
      <c r="B19" s="22">
        <v>72</v>
      </c>
      <c r="C19" s="13">
        <v>95</v>
      </c>
      <c r="D19" s="13">
        <v>78</v>
      </c>
      <c r="E19" s="13">
        <v>21</v>
      </c>
      <c r="F19" s="13">
        <v>60</v>
      </c>
      <c r="G19" s="1">
        <v>81</v>
      </c>
      <c r="H19" s="13">
        <f>SUM(B19:F19)</f>
        <v>326</v>
      </c>
    </row>
    <row r="20" spans="1:8" x14ac:dyDescent="0.45">
      <c r="A20" s="15" t="s">
        <v>156</v>
      </c>
      <c r="B20" s="22">
        <v>68</v>
      </c>
      <c r="C20" s="13">
        <v>86</v>
      </c>
      <c r="D20" s="13">
        <v>81.5</v>
      </c>
      <c r="E20" s="13">
        <v>18</v>
      </c>
      <c r="F20" s="13">
        <v>60</v>
      </c>
      <c r="G20" s="1">
        <v>78</v>
      </c>
      <c r="H20" s="13">
        <f>SUM(B20:F20)</f>
        <v>313.5</v>
      </c>
    </row>
    <row r="21" spans="1:8" x14ac:dyDescent="0.45">
      <c r="A21" s="15" t="s">
        <v>157</v>
      </c>
      <c r="B21" s="22">
        <v>28</v>
      </c>
      <c r="C21" s="13">
        <v>28</v>
      </c>
      <c r="D21" s="13">
        <v>57</v>
      </c>
      <c r="E21" s="13">
        <v>13</v>
      </c>
      <c r="F21" s="13">
        <v>21</v>
      </c>
      <c r="G21" s="1">
        <v>34</v>
      </c>
      <c r="H21" s="13">
        <f>SUM(B21:F21)</f>
        <v>147</v>
      </c>
    </row>
    <row r="22" spans="1:8" x14ac:dyDescent="0.45">
      <c r="A22" s="15" t="s">
        <v>158</v>
      </c>
      <c r="B22" s="22">
        <v>60</v>
      </c>
      <c r="C22" s="13">
        <v>90</v>
      </c>
      <c r="D22" s="13">
        <v>74.5</v>
      </c>
      <c r="E22" s="13">
        <v>31</v>
      </c>
      <c r="F22" s="13">
        <v>66</v>
      </c>
      <c r="G22" s="1">
        <v>97</v>
      </c>
      <c r="H22" s="13">
        <f>SUM(B22:F22)</f>
        <v>321.5</v>
      </c>
    </row>
    <row r="23" spans="1:8" x14ac:dyDescent="0.45">
      <c r="A23" s="15" t="s">
        <v>159</v>
      </c>
      <c r="B23" s="22">
        <v>66</v>
      </c>
      <c r="C23" s="13">
        <v>75</v>
      </c>
      <c r="D23" s="13">
        <v>86</v>
      </c>
      <c r="E23" s="13">
        <v>30</v>
      </c>
      <c r="F23" s="13">
        <v>66</v>
      </c>
      <c r="G23" s="1">
        <v>96</v>
      </c>
      <c r="H23" s="13">
        <f>B23+C23+D23+E23+F23</f>
        <v>323</v>
      </c>
    </row>
    <row r="24" spans="1:8" x14ac:dyDescent="0.45">
      <c r="A24" s="15" t="s">
        <v>160</v>
      </c>
      <c r="B24" s="23">
        <v>40</v>
      </c>
      <c r="C24" s="2">
        <v>76</v>
      </c>
      <c r="D24" s="2">
        <v>89</v>
      </c>
      <c r="E24" s="13">
        <v>17</v>
      </c>
      <c r="F24" s="13">
        <v>72</v>
      </c>
      <c r="G24" s="1">
        <v>89</v>
      </c>
      <c r="H24" s="13">
        <f>SUM(B24:F24)</f>
        <v>294</v>
      </c>
    </row>
    <row r="25" spans="1:8" x14ac:dyDescent="0.45">
      <c r="A25" s="15" t="s">
        <v>161</v>
      </c>
      <c r="B25" s="10">
        <v>72</v>
      </c>
      <c r="C25" s="15">
        <v>78</v>
      </c>
      <c r="D25" s="15">
        <v>73.5</v>
      </c>
      <c r="E25" s="13">
        <v>29</v>
      </c>
      <c r="F25" s="13">
        <v>75</v>
      </c>
      <c r="G25" s="1">
        <v>104</v>
      </c>
      <c r="H25" s="13">
        <f>SUM(B25:F25)</f>
        <v>327.5</v>
      </c>
    </row>
    <row r="26" spans="1:8" x14ac:dyDescent="0.45">
      <c r="A26" s="15" t="s">
        <v>162</v>
      </c>
      <c r="B26" s="22">
        <v>62</v>
      </c>
      <c r="C26" s="13">
        <v>84</v>
      </c>
      <c r="D26" s="13">
        <v>85.5</v>
      </c>
      <c r="E26" s="13">
        <v>20</v>
      </c>
      <c r="F26" s="13">
        <v>60</v>
      </c>
      <c r="G26" s="1">
        <v>80</v>
      </c>
      <c r="H26" s="13">
        <f>SUM(B26:F26)</f>
        <v>311.5</v>
      </c>
    </row>
    <row r="27" spans="1:8" x14ac:dyDescent="0.45">
      <c r="A27" s="15" t="s">
        <v>163</v>
      </c>
      <c r="B27" s="22">
        <v>72</v>
      </c>
      <c r="C27" s="13">
        <v>96</v>
      </c>
      <c r="D27" s="13">
        <v>89.5</v>
      </c>
      <c r="E27" s="13">
        <v>23</v>
      </c>
      <c r="F27" s="13">
        <v>72</v>
      </c>
      <c r="G27" s="1">
        <v>95</v>
      </c>
      <c r="H27" s="13">
        <f>SUM(B27:F27)</f>
        <v>352.5</v>
      </c>
    </row>
    <row r="28" spans="1:8" x14ac:dyDescent="0.45">
      <c r="A28" s="15" t="s">
        <v>164</v>
      </c>
      <c r="B28" s="22">
        <v>42</v>
      </c>
      <c r="C28" s="13">
        <v>71</v>
      </c>
      <c r="D28" s="13">
        <v>81.5</v>
      </c>
      <c r="E28" s="13">
        <v>20</v>
      </c>
      <c r="F28" s="13">
        <v>63</v>
      </c>
      <c r="G28" s="1">
        <v>83</v>
      </c>
      <c r="H28" s="13">
        <f>SUM(B28:F28)</f>
        <v>277.5</v>
      </c>
    </row>
    <row r="29" spans="1:8" x14ac:dyDescent="0.45">
      <c r="A29" s="15" t="s">
        <v>165</v>
      </c>
      <c r="B29" s="22">
        <v>70</v>
      </c>
      <c r="C29" s="13">
        <v>84</v>
      </c>
      <c r="D29" s="13">
        <v>81.5</v>
      </c>
      <c r="E29" s="13">
        <v>23</v>
      </c>
      <c r="F29" s="13">
        <v>75</v>
      </c>
      <c r="G29" s="1">
        <v>98</v>
      </c>
      <c r="H29" s="13">
        <f>SUM(B29:F29)</f>
        <v>333.5</v>
      </c>
    </row>
    <row r="30" spans="1:8" x14ac:dyDescent="0.45">
      <c r="A30" s="15" t="s">
        <v>166</v>
      </c>
      <c r="B30" s="22">
        <v>66</v>
      </c>
      <c r="C30" s="13">
        <v>64</v>
      </c>
      <c r="D30" s="13">
        <v>85.5</v>
      </c>
      <c r="E30" s="13">
        <v>29</v>
      </c>
      <c r="F30" s="13">
        <v>69</v>
      </c>
      <c r="G30" s="1">
        <v>98</v>
      </c>
      <c r="H30" s="13">
        <f>SUM(B30:F30)</f>
        <v>313.5</v>
      </c>
    </row>
    <row r="31" spans="1:8" x14ac:dyDescent="0.45">
      <c r="A31" s="15" t="s">
        <v>167</v>
      </c>
      <c r="B31" s="22">
        <v>62</v>
      </c>
      <c r="C31" s="13">
        <v>93</v>
      </c>
      <c r="D31" s="13">
        <v>85.5</v>
      </c>
      <c r="E31" s="13">
        <v>26</v>
      </c>
      <c r="F31" s="13">
        <v>72</v>
      </c>
      <c r="G31" s="1">
        <v>98</v>
      </c>
      <c r="H31" s="13">
        <f>SUM(B31:F31)</f>
        <v>338.5</v>
      </c>
    </row>
    <row r="32" spans="1:8" x14ac:dyDescent="0.45">
      <c r="A32" s="15" t="s">
        <v>168</v>
      </c>
      <c r="B32" s="22">
        <v>68</v>
      </c>
      <c r="C32" s="13">
        <v>99</v>
      </c>
      <c r="D32" s="13">
        <v>70</v>
      </c>
      <c r="E32" s="13">
        <v>25</v>
      </c>
      <c r="F32" s="13">
        <v>72</v>
      </c>
      <c r="G32" s="1">
        <v>97</v>
      </c>
      <c r="H32" s="13">
        <f>SUM(B32:F32)</f>
        <v>334</v>
      </c>
    </row>
    <row r="33" spans="1:8" x14ac:dyDescent="0.45">
      <c r="A33" s="15" t="s">
        <v>169</v>
      </c>
      <c r="B33" s="22">
        <v>52</v>
      </c>
      <c r="C33" s="13">
        <v>96</v>
      </c>
      <c r="D33" s="13">
        <v>93</v>
      </c>
      <c r="E33" s="13">
        <v>23</v>
      </c>
      <c r="F33" s="13">
        <v>66</v>
      </c>
      <c r="G33" s="1">
        <v>89</v>
      </c>
      <c r="H33" s="13">
        <f>SUM(B33:F33)</f>
        <v>330</v>
      </c>
    </row>
    <row r="34" spans="1:8" x14ac:dyDescent="0.45">
      <c r="A34" s="15" t="s">
        <v>170</v>
      </c>
      <c r="B34" s="22">
        <v>68</v>
      </c>
      <c r="C34" s="13">
        <v>90</v>
      </c>
      <c r="D34" s="13">
        <v>93</v>
      </c>
      <c r="E34" s="13">
        <v>23</v>
      </c>
      <c r="F34" s="13">
        <v>72</v>
      </c>
      <c r="G34" s="1">
        <v>95</v>
      </c>
      <c r="H34" s="13">
        <f>SUM(B34:F34)</f>
        <v>346</v>
      </c>
    </row>
    <row r="35" spans="1:8" x14ac:dyDescent="0.45">
      <c r="A35" s="15" t="s">
        <v>171</v>
      </c>
      <c r="B35" s="22">
        <v>74</v>
      </c>
      <c r="C35" s="13">
        <v>81</v>
      </c>
      <c r="D35" s="13">
        <v>88.5</v>
      </c>
      <c r="E35" s="13">
        <v>28</v>
      </c>
      <c r="F35" s="13">
        <v>75</v>
      </c>
      <c r="G35" s="1">
        <v>103</v>
      </c>
      <c r="H35" s="13">
        <f>SUM(B35:F35)</f>
        <v>346.5</v>
      </c>
    </row>
    <row r="36" spans="1:8" x14ac:dyDescent="0.45">
      <c r="A36" s="15" t="s">
        <v>172</v>
      </c>
      <c r="B36" s="22">
        <v>64</v>
      </c>
      <c r="C36" s="13">
        <v>75</v>
      </c>
      <c r="D36" s="13">
        <v>75</v>
      </c>
      <c r="E36" s="13">
        <v>16</v>
      </c>
      <c r="F36" s="13">
        <v>72</v>
      </c>
      <c r="G36" s="1">
        <v>88</v>
      </c>
      <c r="H36" s="13">
        <f>SUM(B36:F36)</f>
        <v>302</v>
      </c>
    </row>
    <row r="37" spans="1:8" x14ac:dyDescent="0.45">
      <c r="A37" s="15" t="s">
        <v>173</v>
      </c>
      <c r="B37" s="22">
        <v>70</v>
      </c>
      <c r="C37" s="13">
        <v>43</v>
      </c>
      <c r="D37" s="13">
        <v>81</v>
      </c>
      <c r="E37" s="13">
        <v>29</v>
      </c>
      <c r="F37" s="13">
        <v>66</v>
      </c>
      <c r="G37" s="1">
        <v>95</v>
      </c>
      <c r="H37" s="13">
        <f>SUM(B37:F37)</f>
        <v>289</v>
      </c>
    </row>
    <row r="38" spans="1:8" x14ac:dyDescent="0.45">
      <c r="A38" s="15" t="s">
        <v>174</v>
      </c>
      <c r="B38" s="22">
        <v>40</v>
      </c>
      <c r="C38" s="13">
        <v>79</v>
      </c>
      <c r="D38" s="13">
        <v>81.5</v>
      </c>
      <c r="E38" s="13">
        <v>25</v>
      </c>
      <c r="F38" s="13">
        <v>75</v>
      </c>
      <c r="G38" s="1">
        <v>100</v>
      </c>
      <c r="H38" s="13">
        <f>SUM(B38:F38)</f>
        <v>300.5</v>
      </c>
    </row>
    <row r="39" spans="1:8" x14ac:dyDescent="0.45">
      <c r="A39" s="15" t="s">
        <v>175</v>
      </c>
      <c r="B39" s="22">
        <v>48</v>
      </c>
      <c r="C39" s="13">
        <v>69</v>
      </c>
      <c r="D39" s="13">
        <v>81.5</v>
      </c>
      <c r="E39" s="13">
        <v>27</v>
      </c>
      <c r="F39" s="13">
        <v>75</v>
      </c>
      <c r="G39" s="1">
        <v>102</v>
      </c>
      <c r="H39" s="13">
        <f>SUM(B39:F39)</f>
        <v>300.5</v>
      </c>
    </row>
    <row r="40" spans="1:8" x14ac:dyDescent="0.45">
      <c r="A40" s="15" t="s">
        <v>176</v>
      </c>
      <c r="B40" s="22">
        <v>66</v>
      </c>
      <c r="C40" s="13">
        <v>74</v>
      </c>
      <c r="D40" s="13">
        <v>73.5</v>
      </c>
      <c r="E40" s="13">
        <v>29</v>
      </c>
      <c r="F40" s="13">
        <v>69</v>
      </c>
      <c r="G40" s="1">
        <v>98</v>
      </c>
      <c r="H40" s="13">
        <f>SUM(B40:F40)</f>
        <v>311.5</v>
      </c>
    </row>
    <row r="41" spans="1:8" x14ac:dyDescent="0.45">
      <c r="A41" s="15" t="s">
        <v>177</v>
      </c>
      <c r="B41" s="22">
        <v>56</v>
      </c>
      <c r="C41" s="13">
        <v>50</v>
      </c>
      <c r="D41" s="13">
        <v>74.5</v>
      </c>
      <c r="E41" s="13">
        <v>16</v>
      </c>
      <c r="F41" s="13">
        <v>60</v>
      </c>
      <c r="G41" s="1">
        <v>76</v>
      </c>
      <c r="H41" s="13">
        <f>SUM(B41:F41)</f>
        <v>256.5</v>
      </c>
    </row>
    <row r="42" spans="1:8" x14ac:dyDescent="0.45">
      <c r="A42" s="15" t="s">
        <v>178</v>
      </c>
      <c r="B42" s="22">
        <v>62</v>
      </c>
      <c r="C42" s="13">
        <v>48</v>
      </c>
      <c r="D42" s="13">
        <v>74.5</v>
      </c>
      <c r="E42" s="13">
        <v>21</v>
      </c>
      <c r="F42" s="13">
        <v>51</v>
      </c>
      <c r="G42" s="1">
        <v>72</v>
      </c>
      <c r="H42" s="13">
        <f>SUM(B42:F42)</f>
        <v>256.5</v>
      </c>
    </row>
    <row r="43" spans="1:8" x14ac:dyDescent="0.45">
      <c r="A43" s="15" t="s">
        <v>179</v>
      </c>
      <c r="B43" s="22">
        <v>72</v>
      </c>
      <c r="C43" s="13">
        <v>84</v>
      </c>
      <c r="D43" s="13">
        <v>82</v>
      </c>
      <c r="E43" s="13">
        <v>30</v>
      </c>
      <c r="F43" s="13">
        <v>63</v>
      </c>
      <c r="G43" s="1">
        <v>93</v>
      </c>
      <c r="H43" s="13">
        <f>SUM(B43:F43)</f>
        <v>331</v>
      </c>
    </row>
    <row r="44" spans="1:8" x14ac:dyDescent="0.45">
      <c r="A44" s="15" t="s">
        <v>180</v>
      </c>
      <c r="B44" s="22">
        <v>72</v>
      </c>
      <c r="C44" s="13">
        <v>89</v>
      </c>
      <c r="D44" s="13">
        <v>88.5</v>
      </c>
      <c r="E44" s="13">
        <v>34</v>
      </c>
      <c r="F44" s="13">
        <v>69</v>
      </c>
      <c r="G44" s="1">
        <v>103</v>
      </c>
      <c r="H44" s="13">
        <f>SUM(B44:F44)</f>
        <v>352.5</v>
      </c>
    </row>
    <row r="45" spans="1:8" x14ac:dyDescent="0.45">
      <c r="A45" s="15" t="s">
        <v>181</v>
      </c>
      <c r="B45" s="22">
        <v>46</v>
      </c>
      <c r="C45" s="13">
        <v>68</v>
      </c>
      <c r="D45" s="13">
        <v>74.5</v>
      </c>
      <c r="E45" s="13">
        <v>23</v>
      </c>
      <c r="F45" s="13">
        <v>54</v>
      </c>
      <c r="G45" s="1">
        <v>77</v>
      </c>
      <c r="H45" s="13">
        <f>SUM(B45:F45)</f>
        <v>265.5</v>
      </c>
    </row>
    <row r="46" spans="1:8" x14ac:dyDescent="0.45">
      <c r="A46" s="15" t="s">
        <v>182</v>
      </c>
      <c r="B46" s="22">
        <v>52</v>
      </c>
      <c r="C46" s="13">
        <v>64</v>
      </c>
      <c r="D46" s="13">
        <v>74</v>
      </c>
      <c r="E46" s="13">
        <v>23</v>
      </c>
      <c r="F46" s="13">
        <v>51</v>
      </c>
      <c r="G46" s="1">
        <v>74</v>
      </c>
      <c r="H46" s="13">
        <f>SUM(B46:F46)</f>
        <v>264</v>
      </c>
    </row>
    <row r="47" spans="1:8" x14ac:dyDescent="0.45">
      <c r="A47" s="15" t="s">
        <v>183</v>
      </c>
      <c r="B47" s="22">
        <v>60</v>
      </c>
      <c r="C47" s="13">
        <v>37</v>
      </c>
      <c r="D47" s="13">
        <v>69</v>
      </c>
      <c r="E47" s="13">
        <v>14</v>
      </c>
      <c r="F47" s="13">
        <v>54</v>
      </c>
      <c r="G47" s="1">
        <v>68</v>
      </c>
      <c r="H47" s="13">
        <f>SUM(B47:F47)</f>
        <v>234</v>
      </c>
    </row>
    <row r="48" spans="1:8" x14ac:dyDescent="0.45">
      <c r="A48" s="15" t="s">
        <v>184</v>
      </c>
      <c r="B48" s="22">
        <v>68</v>
      </c>
      <c r="C48" s="13">
        <v>68</v>
      </c>
      <c r="D48" s="13">
        <v>63</v>
      </c>
      <c r="E48" s="13">
        <v>21</v>
      </c>
      <c r="F48" s="13">
        <v>54</v>
      </c>
      <c r="G48" s="1">
        <v>75</v>
      </c>
      <c r="H48" s="13">
        <f>SUM(B48:F48)</f>
        <v>274</v>
      </c>
    </row>
    <row r="49" spans="1:8" x14ac:dyDescent="0.45">
      <c r="A49" s="15" t="s">
        <v>185</v>
      </c>
      <c r="B49" s="22">
        <v>50</v>
      </c>
      <c r="C49" s="13">
        <v>75</v>
      </c>
      <c r="D49" s="13">
        <v>63.5</v>
      </c>
      <c r="E49" s="13">
        <v>21</v>
      </c>
      <c r="F49" s="13">
        <v>48</v>
      </c>
      <c r="G49" s="1">
        <v>69</v>
      </c>
      <c r="H49" s="13">
        <f>SUM(B49:F49)</f>
        <v>257.5</v>
      </c>
    </row>
    <row r="50" spans="1:8" x14ac:dyDescent="0.45">
      <c r="A50" s="15" t="s">
        <v>186</v>
      </c>
      <c r="B50" s="22">
        <v>68</v>
      </c>
      <c r="C50" s="13">
        <v>99</v>
      </c>
      <c r="D50" s="13">
        <v>77.5</v>
      </c>
      <c r="E50" s="13">
        <v>27</v>
      </c>
      <c r="F50" s="13">
        <v>72</v>
      </c>
      <c r="G50" s="1">
        <v>99</v>
      </c>
      <c r="H50" s="13">
        <f>SUM(B50:F50)</f>
        <v>343.5</v>
      </c>
    </row>
    <row r="51" spans="1:8" x14ac:dyDescent="0.45">
      <c r="A51" s="15" t="s">
        <v>187</v>
      </c>
      <c r="B51" s="22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5" t="s">
        <v>38</v>
      </c>
    </row>
    <row r="52" spans="1:8" x14ac:dyDescent="0.45">
      <c r="A52" s="15" t="s">
        <v>188</v>
      </c>
      <c r="B52" s="22">
        <v>76</v>
      </c>
      <c r="C52" s="13">
        <v>52</v>
      </c>
      <c r="D52" s="13">
        <v>71</v>
      </c>
      <c r="E52" s="13">
        <v>21</v>
      </c>
      <c r="F52" s="13">
        <v>57</v>
      </c>
      <c r="G52" s="1">
        <v>78</v>
      </c>
      <c r="H52" s="13">
        <f>SUM(B52:F52)</f>
        <v>277</v>
      </c>
    </row>
    <row r="53" spans="1:8" x14ac:dyDescent="0.45">
      <c r="A53" s="13" t="s">
        <v>189</v>
      </c>
      <c r="B53" s="13">
        <v>58</v>
      </c>
      <c r="C53" s="13">
        <v>75</v>
      </c>
      <c r="D53" s="13">
        <v>74</v>
      </c>
      <c r="E53" s="13">
        <v>35</v>
      </c>
      <c r="F53" s="13">
        <v>72</v>
      </c>
      <c r="G53" s="1">
        <v>107</v>
      </c>
      <c r="H53" s="13">
        <f>SUM(B53:F53)</f>
        <v>314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H1"/>
  </mergeCells>
  <phoneticPr fontId="1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5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D39" sqref="D39"/>
    </sheetView>
  </sheetViews>
  <sheetFormatPr defaultColWidth="11.3046875" defaultRowHeight="14.5" x14ac:dyDescent="0.45"/>
  <cols>
    <col min="1" max="1" width="6.15234375" style="1" bestFit="1" customWidth="1"/>
    <col min="2" max="2" width="11.3046875" style="18" bestFit="1"/>
    <col min="3" max="5" width="11.3046875" style="1" bestFit="1"/>
    <col min="6" max="6" width="9.53515625" style="1" bestFit="1" customWidth="1"/>
    <col min="7" max="7" width="11.3046875" style="1" bestFit="1"/>
    <col min="8" max="8" width="14.07421875" style="1" bestFit="1" customWidth="1"/>
    <col min="9" max="9" width="11.3046875" style="1" bestFit="1"/>
    <col min="10" max="16384" width="11.3046875" style="1"/>
  </cols>
  <sheetData>
    <row r="1" spans="1:9" x14ac:dyDescent="0.45">
      <c r="A1" s="46"/>
      <c r="B1" s="83" t="s">
        <v>380</v>
      </c>
      <c r="C1" s="80"/>
      <c r="D1" s="80"/>
      <c r="E1" s="80"/>
      <c r="F1" s="80"/>
      <c r="G1" s="80"/>
      <c r="H1" s="80"/>
      <c r="I1" s="81"/>
    </row>
    <row r="2" spans="1:9" x14ac:dyDescent="0.45">
      <c r="A2" s="73" t="s">
        <v>0</v>
      </c>
      <c r="B2" s="82" t="s">
        <v>381</v>
      </c>
      <c r="C2" s="76" t="s">
        <v>382</v>
      </c>
      <c r="D2" s="76" t="s">
        <v>388</v>
      </c>
      <c r="E2" s="76" t="s">
        <v>389</v>
      </c>
      <c r="F2" s="75" t="s">
        <v>390</v>
      </c>
      <c r="G2" s="75" t="s">
        <v>391</v>
      </c>
      <c r="H2" s="75" t="s">
        <v>387</v>
      </c>
      <c r="I2" s="76" t="s">
        <v>386</v>
      </c>
    </row>
    <row r="3" spans="1:9" x14ac:dyDescent="0.45">
      <c r="A3" s="56" t="s">
        <v>190</v>
      </c>
      <c r="B3" s="72">
        <v>50</v>
      </c>
      <c r="C3" s="73">
        <v>54</v>
      </c>
      <c r="D3" s="73">
        <v>56</v>
      </c>
      <c r="E3" s="77">
        <v>38</v>
      </c>
      <c r="F3" s="73" t="s">
        <v>191</v>
      </c>
      <c r="G3" s="77">
        <v>38</v>
      </c>
      <c r="H3" s="77">
        <v>76</v>
      </c>
      <c r="I3" s="77">
        <f t="shared" ref="I3:I20" si="0">SUM(B3:G3)</f>
        <v>236</v>
      </c>
    </row>
    <row r="4" spans="1:9" x14ac:dyDescent="0.45">
      <c r="A4" s="56" t="s">
        <v>192</v>
      </c>
      <c r="B4" s="78">
        <v>86</v>
      </c>
      <c r="C4" s="77">
        <v>84</v>
      </c>
      <c r="D4" s="77">
        <v>94</v>
      </c>
      <c r="E4" s="77">
        <v>55</v>
      </c>
      <c r="F4" s="73" t="s">
        <v>191</v>
      </c>
      <c r="G4" s="77">
        <v>51</v>
      </c>
      <c r="H4" s="77">
        <v>106</v>
      </c>
      <c r="I4" s="77">
        <f t="shared" si="0"/>
        <v>370</v>
      </c>
    </row>
    <row r="5" spans="1:9" x14ac:dyDescent="0.45">
      <c r="A5" s="56" t="s">
        <v>193</v>
      </c>
      <c r="B5" s="78">
        <v>82</v>
      </c>
      <c r="C5" s="77">
        <v>80</v>
      </c>
      <c r="D5" s="77">
        <v>51</v>
      </c>
      <c r="E5" s="77">
        <v>56</v>
      </c>
      <c r="F5" s="73" t="s">
        <v>191</v>
      </c>
      <c r="G5" s="77">
        <v>52</v>
      </c>
      <c r="H5" s="77">
        <v>108</v>
      </c>
      <c r="I5" s="77">
        <f t="shared" si="0"/>
        <v>321</v>
      </c>
    </row>
    <row r="6" spans="1:9" x14ac:dyDescent="0.45">
      <c r="A6" s="56" t="s">
        <v>194</v>
      </c>
      <c r="B6" s="78">
        <v>72</v>
      </c>
      <c r="C6" s="77">
        <v>81</v>
      </c>
      <c r="D6" s="73">
        <v>88</v>
      </c>
      <c r="E6" s="77">
        <v>58</v>
      </c>
      <c r="F6" s="73" t="s">
        <v>191</v>
      </c>
      <c r="G6" s="77">
        <v>42</v>
      </c>
      <c r="H6" s="77">
        <v>100</v>
      </c>
      <c r="I6" s="77">
        <f t="shared" si="0"/>
        <v>341</v>
      </c>
    </row>
    <row r="7" spans="1:9" x14ac:dyDescent="0.45">
      <c r="A7" s="56" t="s">
        <v>195</v>
      </c>
      <c r="B7" s="78">
        <v>48</v>
      </c>
      <c r="C7" s="77">
        <v>17</v>
      </c>
      <c r="D7" s="77">
        <v>63</v>
      </c>
      <c r="E7" s="77">
        <v>41</v>
      </c>
      <c r="F7" s="73" t="s">
        <v>191</v>
      </c>
      <c r="G7" s="77">
        <v>40</v>
      </c>
      <c r="H7" s="77">
        <v>81</v>
      </c>
      <c r="I7" s="77">
        <f t="shared" si="0"/>
        <v>209</v>
      </c>
    </row>
    <row r="8" spans="1:9" x14ac:dyDescent="0.45">
      <c r="A8" s="56" t="s">
        <v>196</v>
      </c>
      <c r="B8" s="78">
        <v>50</v>
      </c>
      <c r="C8" s="77">
        <v>41</v>
      </c>
      <c r="D8" s="77">
        <v>43</v>
      </c>
      <c r="E8" s="77">
        <v>46</v>
      </c>
      <c r="F8" s="73" t="s">
        <v>191</v>
      </c>
      <c r="G8" s="77">
        <v>39</v>
      </c>
      <c r="H8" s="77">
        <v>85</v>
      </c>
      <c r="I8" s="77">
        <f t="shared" si="0"/>
        <v>219</v>
      </c>
    </row>
    <row r="9" spans="1:9" x14ac:dyDescent="0.45">
      <c r="A9" s="56" t="s">
        <v>197</v>
      </c>
      <c r="B9" s="78">
        <v>40</v>
      </c>
      <c r="C9" s="77">
        <v>74</v>
      </c>
      <c r="D9" s="77">
        <v>66</v>
      </c>
      <c r="E9" s="77">
        <v>53</v>
      </c>
      <c r="F9" s="73" t="s">
        <v>191</v>
      </c>
      <c r="G9" s="77">
        <v>45</v>
      </c>
      <c r="H9" s="77">
        <v>98</v>
      </c>
      <c r="I9" s="77">
        <f t="shared" si="0"/>
        <v>278</v>
      </c>
    </row>
    <row r="10" spans="1:9" x14ac:dyDescent="0.45">
      <c r="A10" s="56" t="s">
        <v>198</v>
      </c>
      <c r="B10" s="78">
        <v>74</v>
      </c>
      <c r="C10" s="77">
        <v>64</v>
      </c>
      <c r="D10" s="77">
        <v>100</v>
      </c>
      <c r="E10" s="77">
        <v>57</v>
      </c>
      <c r="F10" s="73" t="s">
        <v>191</v>
      </c>
      <c r="G10" s="77">
        <v>50</v>
      </c>
      <c r="H10" s="77">
        <v>107</v>
      </c>
      <c r="I10" s="77">
        <f t="shared" si="0"/>
        <v>345</v>
      </c>
    </row>
    <row r="11" spans="1:9" x14ac:dyDescent="0.45">
      <c r="A11" s="56" t="s">
        <v>199</v>
      </c>
      <c r="B11" s="78">
        <v>24</v>
      </c>
      <c r="C11" s="77">
        <v>29</v>
      </c>
      <c r="D11" s="77">
        <v>92</v>
      </c>
      <c r="E11" s="77">
        <v>36</v>
      </c>
      <c r="F11" s="73" t="s">
        <v>191</v>
      </c>
      <c r="G11" s="77">
        <v>30</v>
      </c>
      <c r="H11" s="77">
        <v>66</v>
      </c>
      <c r="I11" s="77">
        <f t="shared" si="0"/>
        <v>211</v>
      </c>
    </row>
    <row r="12" spans="1:9" x14ac:dyDescent="0.45">
      <c r="A12" s="56" t="s">
        <v>200</v>
      </c>
      <c r="B12" s="78">
        <v>70</v>
      </c>
      <c r="C12" s="77">
        <v>83</v>
      </c>
      <c r="D12" s="77">
        <v>68</v>
      </c>
      <c r="E12" s="77">
        <v>53</v>
      </c>
      <c r="F12" s="73" t="s">
        <v>191</v>
      </c>
      <c r="G12" s="77">
        <v>23</v>
      </c>
      <c r="H12" s="77">
        <v>76</v>
      </c>
      <c r="I12" s="77">
        <f t="shared" si="0"/>
        <v>297</v>
      </c>
    </row>
    <row r="13" spans="1:9" x14ac:dyDescent="0.45">
      <c r="A13" s="56" t="s">
        <v>201</v>
      </c>
      <c r="B13" s="78">
        <v>66</v>
      </c>
      <c r="C13" s="77">
        <v>56</v>
      </c>
      <c r="D13" s="77">
        <v>73</v>
      </c>
      <c r="E13" s="77">
        <v>45</v>
      </c>
      <c r="F13" s="73" t="s">
        <v>191</v>
      </c>
      <c r="G13" s="77">
        <v>40</v>
      </c>
      <c r="H13" s="77">
        <v>85</v>
      </c>
      <c r="I13" s="77">
        <f t="shared" si="0"/>
        <v>280</v>
      </c>
    </row>
    <row r="14" spans="1:9" x14ac:dyDescent="0.45">
      <c r="A14" s="56" t="s">
        <v>202</v>
      </c>
      <c r="B14" s="78">
        <v>82</v>
      </c>
      <c r="C14" s="77">
        <v>93</v>
      </c>
      <c r="D14" s="77">
        <v>70</v>
      </c>
      <c r="E14" s="77">
        <v>54</v>
      </c>
      <c r="F14" s="73" t="s">
        <v>191</v>
      </c>
      <c r="G14" s="77">
        <v>52</v>
      </c>
      <c r="H14" s="77">
        <v>106</v>
      </c>
      <c r="I14" s="77">
        <f t="shared" si="0"/>
        <v>351</v>
      </c>
    </row>
    <row r="15" spans="1:9" x14ac:dyDescent="0.45">
      <c r="A15" s="56" t="s">
        <v>203</v>
      </c>
      <c r="B15" s="78">
        <v>64</v>
      </c>
      <c r="C15" s="77">
        <v>79</v>
      </c>
      <c r="D15" s="77">
        <v>28</v>
      </c>
      <c r="E15" s="77">
        <v>49</v>
      </c>
      <c r="F15" s="73" t="s">
        <v>191</v>
      </c>
      <c r="G15" s="77">
        <v>43</v>
      </c>
      <c r="H15" s="77">
        <v>92</v>
      </c>
      <c r="I15" s="77">
        <f t="shared" si="0"/>
        <v>263</v>
      </c>
    </row>
    <row r="16" spans="1:9" x14ac:dyDescent="0.45">
      <c r="A16" s="56" t="s">
        <v>204</v>
      </c>
      <c r="B16" s="78">
        <v>88</v>
      </c>
      <c r="C16" s="77">
        <v>81</v>
      </c>
      <c r="D16" s="77">
        <v>77</v>
      </c>
      <c r="E16" s="77">
        <v>46</v>
      </c>
      <c r="F16" s="73" t="s">
        <v>191</v>
      </c>
      <c r="G16" s="77">
        <v>43</v>
      </c>
      <c r="H16" s="77">
        <v>89</v>
      </c>
      <c r="I16" s="77">
        <f t="shared" si="0"/>
        <v>335</v>
      </c>
    </row>
    <row r="17" spans="1:9" x14ac:dyDescent="0.45">
      <c r="A17" s="56" t="s">
        <v>205</v>
      </c>
      <c r="B17" s="78">
        <v>64</v>
      </c>
      <c r="C17" s="77">
        <v>67</v>
      </c>
      <c r="D17" s="77">
        <v>54</v>
      </c>
      <c r="E17" s="77">
        <v>57</v>
      </c>
      <c r="F17" s="73" t="s">
        <v>191</v>
      </c>
      <c r="G17" s="77">
        <v>39</v>
      </c>
      <c r="H17" s="77">
        <v>96</v>
      </c>
      <c r="I17" s="77">
        <f t="shared" si="0"/>
        <v>281</v>
      </c>
    </row>
    <row r="18" spans="1:9" x14ac:dyDescent="0.45">
      <c r="A18" s="56" t="s">
        <v>206</v>
      </c>
      <c r="B18" s="78">
        <v>80</v>
      </c>
      <c r="C18" s="77">
        <v>82</v>
      </c>
      <c r="D18" s="77">
        <v>80</v>
      </c>
      <c r="E18" s="77">
        <v>55</v>
      </c>
      <c r="F18" s="73" t="s">
        <v>191</v>
      </c>
      <c r="G18" s="77">
        <v>36</v>
      </c>
      <c r="H18" s="77">
        <v>91</v>
      </c>
      <c r="I18" s="77">
        <f t="shared" si="0"/>
        <v>333</v>
      </c>
    </row>
    <row r="19" spans="1:9" x14ac:dyDescent="0.45">
      <c r="A19" s="56" t="s">
        <v>207</v>
      </c>
      <c r="B19" s="78">
        <v>92</v>
      </c>
      <c r="C19" s="77">
        <v>77</v>
      </c>
      <c r="D19" s="77">
        <v>86</v>
      </c>
      <c r="E19" s="77">
        <v>50</v>
      </c>
      <c r="F19" s="73" t="s">
        <v>191</v>
      </c>
      <c r="G19" s="77">
        <v>37</v>
      </c>
      <c r="H19" s="77">
        <v>87</v>
      </c>
      <c r="I19" s="77">
        <f t="shared" si="0"/>
        <v>342</v>
      </c>
    </row>
    <row r="20" spans="1:9" x14ac:dyDescent="0.45">
      <c r="A20" s="56" t="s">
        <v>208</v>
      </c>
      <c r="B20" s="78">
        <v>74</v>
      </c>
      <c r="C20" s="77">
        <v>72</v>
      </c>
      <c r="D20" s="73">
        <v>54</v>
      </c>
      <c r="E20" s="77">
        <v>51</v>
      </c>
      <c r="F20" s="73" t="s">
        <v>191</v>
      </c>
      <c r="G20" s="77">
        <v>33</v>
      </c>
      <c r="H20" s="77">
        <v>84</v>
      </c>
      <c r="I20" s="77">
        <f t="shared" si="0"/>
        <v>284</v>
      </c>
    </row>
    <row r="21" spans="1:9" x14ac:dyDescent="0.45">
      <c r="A21" s="56" t="s">
        <v>209</v>
      </c>
      <c r="B21" s="72" t="s">
        <v>38</v>
      </c>
      <c r="C21" s="73" t="s">
        <v>38</v>
      </c>
      <c r="D21" s="73" t="s">
        <v>38</v>
      </c>
      <c r="E21" s="73" t="s">
        <v>38</v>
      </c>
      <c r="F21" s="73" t="s">
        <v>191</v>
      </c>
      <c r="G21" s="73" t="s">
        <v>38</v>
      </c>
      <c r="H21" s="73" t="s">
        <v>38</v>
      </c>
      <c r="I21" s="73" t="s">
        <v>38</v>
      </c>
    </row>
    <row r="22" spans="1:9" x14ac:dyDescent="0.45">
      <c r="A22" s="56" t="s">
        <v>210</v>
      </c>
      <c r="B22" s="78">
        <v>92</v>
      </c>
      <c r="C22" s="77">
        <v>77</v>
      </c>
      <c r="D22" s="77">
        <v>92</v>
      </c>
      <c r="E22" s="77">
        <v>57</v>
      </c>
      <c r="F22" s="73" t="s">
        <v>191</v>
      </c>
      <c r="G22" s="77">
        <v>40</v>
      </c>
      <c r="H22" s="77">
        <v>97</v>
      </c>
      <c r="I22" s="77">
        <f t="shared" ref="I22:I24" si="1">SUM(B22:G22)</f>
        <v>358</v>
      </c>
    </row>
    <row r="23" spans="1:9" x14ac:dyDescent="0.45">
      <c r="A23" s="56" t="s">
        <v>211</v>
      </c>
      <c r="B23" s="78">
        <v>92</v>
      </c>
      <c r="C23" s="77">
        <v>80</v>
      </c>
      <c r="D23" s="77">
        <v>84</v>
      </c>
      <c r="E23" s="77">
        <v>52</v>
      </c>
      <c r="F23" s="73" t="s">
        <v>191</v>
      </c>
      <c r="G23" s="77">
        <v>39</v>
      </c>
      <c r="H23" s="77">
        <v>91</v>
      </c>
      <c r="I23" s="77">
        <f t="shared" si="1"/>
        <v>347</v>
      </c>
    </row>
    <row r="24" spans="1:9" x14ac:dyDescent="0.45">
      <c r="A24" s="56" t="s">
        <v>212</v>
      </c>
      <c r="B24" s="74">
        <v>90</v>
      </c>
      <c r="C24" s="46">
        <v>71</v>
      </c>
      <c r="D24" s="46">
        <v>80</v>
      </c>
      <c r="E24" s="77">
        <v>52</v>
      </c>
      <c r="F24" s="73" t="s">
        <v>191</v>
      </c>
      <c r="G24" s="77">
        <v>40</v>
      </c>
      <c r="H24" s="77">
        <v>92</v>
      </c>
      <c r="I24" s="77">
        <f t="shared" si="1"/>
        <v>333</v>
      </c>
    </row>
    <row r="25" spans="1:9" x14ac:dyDescent="0.45">
      <c r="A25" s="56" t="s">
        <v>213</v>
      </c>
      <c r="B25" s="72">
        <v>80</v>
      </c>
      <c r="C25" s="73">
        <v>92</v>
      </c>
      <c r="D25" s="73">
        <v>83</v>
      </c>
      <c r="E25" s="77">
        <v>58</v>
      </c>
      <c r="F25" s="73" t="s">
        <v>191</v>
      </c>
      <c r="G25" s="77">
        <v>43</v>
      </c>
      <c r="H25" s="77">
        <v>101</v>
      </c>
      <c r="I25" s="77">
        <v>356</v>
      </c>
    </row>
    <row r="26" spans="1:9" x14ac:dyDescent="0.45">
      <c r="A26" s="56" t="s">
        <v>214</v>
      </c>
      <c r="B26" s="78">
        <v>92</v>
      </c>
      <c r="C26" s="77">
        <v>78</v>
      </c>
      <c r="D26" s="77">
        <v>75</v>
      </c>
      <c r="E26" s="77">
        <v>51</v>
      </c>
      <c r="F26" s="73" t="s">
        <v>191</v>
      </c>
      <c r="G26" s="77">
        <v>34</v>
      </c>
      <c r="H26" s="77">
        <v>85</v>
      </c>
      <c r="I26" s="77">
        <f t="shared" ref="I26:I32" si="2">SUM(B26:G26)</f>
        <v>330</v>
      </c>
    </row>
    <row r="27" spans="1:9" x14ac:dyDescent="0.45">
      <c r="A27" s="56" t="s">
        <v>215</v>
      </c>
      <c r="B27" s="78">
        <v>86</v>
      </c>
      <c r="C27" s="77">
        <v>99</v>
      </c>
      <c r="D27" s="77">
        <v>90</v>
      </c>
      <c r="E27" s="77">
        <v>51</v>
      </c>
      <c r="F27" s="73" t="s">
        <v>191</v>
      </c>
      <c r="G27" s="77">
        <v>32</v>
      </c>
      <c r="H27" s="77">
        <v>83</v>
      </c>
      <c r="I27" s="77">
        <f t="shared" si="2"/>
        <v>358</v>
      </c>
    </row>
    <row r="28" spans="1:9" x14ac:dyDescent="0.45">
      <c r="A28" s="56" t="s">
        <v>216</v>
      </c>
      <c r="B28" s="78">
        <v>74</v>
      </c>
      <c r="C28" s="77">
        <v>74</v>
      </c>
      <c r="D28" s="77">
        <v>77</v>
      </c>
      <c r="E28" s="77">
        <v>55</v>
      </c>
      <c r="F28" s="73" t="s">
        <v>191</v>
      </c>
      <c r="G28" s="77">
        <v>48</v>
      </c>
      <c r="H28" s="77">
        <v>103</v>
      </c>
      <c r="I28" s="77">
        <f t="shared" si="2"/>
        <v>328</v>
      </c>
    </row>
    <row r="29" spans="1:9" x14ac:dyDescent="0.45">
      <c r="A29" s="56" t="s">
        <v>217</v>
      </c>
      <c r="B29" s="78">
        <v>82</v>
      </c>
      <c r="C29" s="77">
        <v>86</v>
      </c>
      <c r="D29" s="77">
        <v>98</v>
      </c>
      <c r="E29" s="77">
        <v>53</v>
      </c>
      <c r="F29" s="73" t="s">
        <v>191</v>
      </c>
      <c r="G29" s="77">
        <v>45</v>
      </c>
      <c r="H29" s="77">
        <v>98</v>
      </c>
      <c r="I29" s="77">
        <f t="shared" si="2"/>
        <v>364</v>
      </c>
    </row>
    <row r="30" spans="1:9" x14ac:dyDescent="0.45">
      <c r="A30" s="56" t="s">
        <v>218</v>
      </c>
      <c r="B30" s="78">
        <v>82</v>
      </c>
      <c r="C30" s="77">
        <v>77</v>
      </c>
      <c r="D30" s="77">
        <v>88</v>
      </c>
      <c r="E30" s="77">
        <v>55</v>
      </c>
      <c r="F30" s="73" t="s">
        <v>191</v>
      </c>
      <c r="G30" s="77">
        <v>45</v>
      </c>
      <c r="H30" s="77">
        <v>100</v>
      </c>
      <c r="I30" s="77">
        <f t="shared" si="2"/>
        <v>347</v>
      </c>
    </row>
    <row r="31" spans="1:9" x14ac:dyDescent="0.45">
      <c r="A31" s="56" t="s">
        <v>219</v>
      </c>
      <c r="B31" s="78">
        <v>76</v>
      </c>
      <c r="C31" s="77">
        <v>69</v>
      </c>
      <c r="D31" s="77">
        <v>52</v>
      </c>
      <c r="E31" s="77">
        <v>47</v>
      </c>
      <c r="F31" s="73" t="s">
        <v>191</v>
      </c>
      <c r="G31" s="77">
        <v>51</v>
      </c>
      <c r="H31" s="77">
        <v>98</v>
      </c>
      <c r="I31" s="77">
        <f t="shared" si="2"/>
        <v>295</v>
      </c>
    </row>
    <row r="32" spans="1:9" x14ac:dyDescent="0.45">
      <c r="A32" s="56" t="s">
        <v>220</v>
      </c>
      <c r="B32" s="78">
        <v>74</v>
      </c>
      <c r="C32" s="77">
        <v>89</v>
      </c>
      <c r="D32" s="77">
        <v>90</v>
      </c>
      <c r="E32" s="77">
        <v>57</v>
      </c>
      <c r="F32" s="73" t="s">
        <v>191</v>
      </c>
      <c r="G32" s="77">
        <v>51</v>
      </c>
      <c r="H32" s="77">
        <v>108</v>
      </c>
      <c r="I32" s="77">
        <f t="shared" si="2"/>
        <v>361</v>
      </c>
    </row>
    <row r="33" spans="1:9" x14ac:dyDescent="0.45">
      <c r="A33" s="56" t="s">
        <v>221</v>
      </c>
      <c r="B33" s="72" t="s">
        <v>38</v>
      </c>
      <c r="C33" s="73" t="s">
        <v>38</v>
      </c>
      <c r="D33" s="73" t="s">
        <v>38</v>
      </c>
      <c r="E33" s="73" t="s">
        <v>38</v>
      </c>
      <c r="F33" s="73" t="s">
        <v>191</v>
      </c>
      <c r="G33" s="73" t="s">
        <v>38</v>
      </c>
      <c r="H33" s="73" t="s">
        <v>38</v>
      </c>
      <c r="I33" s="73" t="s">
        <v>38</v>
      </c>
    </row>
    <row r="34" spans="1:9" x14ac:dyDescent="0.45">
      <c r="A34" s="56" t="s">
        <v>222</v>
      </c>
      <c r="B34" s="72" t="s">
        <v>38</v>
      </c>
      <c r="C34" s="73" t="s">
        <v>38</v>
      </c>
      <c r="D34" s="73" t="s">
        <v>38</v>
      </c>
      <c r="E34" s="73" t="s">
        <v>38</v>
      </c>
      <c r="F34" s="73" t="s">
        <v>191</v>
      </c>
      <c r="G34" s="73" t="s">
        <v>38</v>
      </c>
      <c r="H34" s="73" t="s">
        <v>38</v>
      </c>
      <c r="I34" s="73" t="s">
        <v>38</v>
      </c>
    </row>
    <row r="35" spans="1:9" x14ac:dyDescent="0.45">
      <c r="A35" s="56" t="s">
        <v>223</v>
      </c>
      <c r="B35" s="78">
        <v>70</v>
      </c>
      <c r="C35" s="77">
        <v>75</v>
      </c>
      <c r="D35" s="77">
        <v>86</v>
      </c>
      <c r="E35" s="77">
        <v>51</v>
      </c>
      <c r="F35" s="73" t="s">
        <v>191</v>
      </c>
      <c r="G35" s="77">
        <v>41</v>
      </c>
      <c r="H35" s="77">
        <v>92</v>
      </c>
      <c r="I35" s="77">
        <f t="shared" ref="I35:I45" si="3">SUM(B35:G35)</f>
        <v>323</v>
      </c>
    </row>
    <row r="36" spans="1:9" x14ac:dyDescent="0.45">
      <c r="A36" s="56" t="s">
        <v>224</v>
      </c>
      <c r="B36" s="78">
        <v>58</v>
      </c>
      <c r="C36" s="77">
        <v>79</v>
      </c>
      <c r="D36" s="77">
        <v>67</v>
      </c>
      <c r="E36" s="77">
        <v>48</v>
      </c>
      <c r="F36" s="73" t="s">
        <v>191</v>
      </c>
      <c r="G36" s="77">
        <v>38</v>
      </c>
      <c r="H36" s="77">
        <v>86</v>
      </c>
      <c r="I36" s="77">
        <f t="shared" si="3"/>
        <v>290</v>
      </c>
    </row>
    <row r="37" spans="1:9" x14ac:dyDescent="0.45">
      <c r="A37" s="56" t="s">
        <v>225</v>
      </c>
      <c r="B37" s="78">
        <v>82</v>
      </c>
      <c r="C37" s="77">
        <v>85</v>
      </c>
      <c r="D37" s="77">
        <v>65</v>
      </c>
      <c r="E37" s="77">
        <v>48</v>
      </c>
      <c r="F37" s="73" t="s">
        <v>191</v>
      </c>
      <c r="G37" s="77">
        <v>43</v>
      </c>
      <c r="H37" s="77">
        <v>91</v>
      </c>
      <c r="I37" s="77">
        <f t="shared" si="3"/>
        <v>323</v>
      </c>
    </row>
    <row r="38" spans="1:9" x14ac:dyDescent="0.45">
      <c r="A38" s="56" t="s">
        <v>226</v>
      </c>
      <c r="B38" s="78">
        <v>76</v>
      </c>
      <c r="C38" s="77">
        <v>70</v>
      </c>
      <c r="D38" s="77">
        <v>49</v>
      </c>
      <c r="E38" s="77">
        <v>57</v>
      </c>
      <c r="F38" s="73" t="s">
        <v>191</v>
      </c>
      <c r="G38" s="77">
        <v>44</v>
      </c>
      <c r="H38" s="77">
        <v>101</v>
      </c>
      <c r="I38" s="77">
        <f t="shared" si="3"/>
        <v>296</v>
      </c>
    </row>
    <row r="39" spans="1:9" x14ac:dyDescent="0.45">
      <c r="A39" s="56" t="s">
        <v>227</v>
      </c>
      <c r="B39" s="78">
        <v>76</v>
      </c>
      <c r="C39" s="77">
        <v>96</v>
      </c>
      <c r="D39" s="77">
        <v>59</v>
      </c>
      <c r="E39" s="77">
        <v>55</v>
      </c>
      <c r="F39" s="73" t="s">
        <v>191</v>
      </c>
      <c r="G39" s="77">
        <v>39</v>
      </c>
      <c r="H39" s="77">
        <v>94</v>
      </c>
      <c r="I39" s="77">
        <f t="shared" si="3"/>
        <v>325</v>
      </c>
    </row>
    <row r="40" spans="1:9" x14ac:dyDescent="0.45">
      <c r="A40" s="56" t="s">
        <v>228</v>
      </c>
      <c r="B40" s="78">
        <v>82</v>
      </c>
      <c r="C40" s="77">
        <v>75</v>
      </c>
      <c r="D40" s="77">
        <v>54</v>
      </c>
      <c r="E40" s="77">
        <v>49</v>
      </c>
      <c r="F40" s="73" t="s">
        <v>191</v>
      </c>
      <c r="G40" s="77">
        <v>36</v>
      </c>
      <c r="H40" s="77">
        <v>85</v>
      </c>
      <c r="I40" s="77">
        <f t="shared" si="3"/>
        <v>296</v>
      </c>
    </row>
    <row r="41" spans="1:9" x14ac:dyDescent="0.45">
      <c r="A41" s="56" t="s">
        <v>229</v>
      </c>
      <c r="B41" s="78">
        <v>70</v>
      </c>
      <c r="C41" s="77">
        <v>66</v>
      </c>
      <c r="D41" s="77">
        <v>57</v>
      </c>
      <c r="E41" s="77">
        <v>53</v>
      </c>
      <c r="F41" s="73" t="s">
        <v>191</v>
      </c>
      <c r="G41" s="77">
        <v>35</v>
      </c>
      <c r="H41" s="77">
        <v>88</v>
      </c>
      <c r="I41" s="77">
        <f t="shared" si="3"/>
        <v>281</v>
      </c>
    </row>
    <row r="42" spans="1:9" x14ac:dyDescent="0.45">
      <c r="A42" s="56" t="s">
        <v>230</v>
      </c>
      <c r="B42" s="78">
        <v>62</v>
      </c>
      <c r="C42" s="77">
        <v>78</v>
      </c>
      <c r="D42" s="77">
        <v>69</v>
      </c>
      <c r="E42" s="77">
        <v>43</v>
      </c>
      <c r="F42" s="73" t="s">
        <v>191</v>
      </c>
      <c r="G42" s="77">
        <v>39</v>
      </c>
      <c r="H42" s="77">
        <v>82</v>
      </c>
      <c r="I42" s="77">
        <f t="shared" si="3"/>
        <v>291</v>
      </c>
    </row>
    <row r="43" spans="1:9" x14ac:dyDescent="0.45">
      <c r="A43" s="56" t="s">
        <v>231</v>
      </c>
      <c r="B43" s="78">
        <v>68</v>
      </c>
      <c r="C43" s="77">
        <v>59</v>
      </c>
      <c r="D43" s="77">
        <v>63</v>
      </c>
      <c r="E43" s="77">
        <v>54</v>
      </c>
      <c r="F43" s="73" t="s">
        <v>191</v>
      </c>
      <c r="G43" s="77">
        <v>36</v>
      </c>
      <c r="H43" s="77">
        <v>90</v>
      </c>
      <c r="I43" s="77">
        <f t="shared" si="3"/>
        <v>280</v>
      </c>
    </row>
    <row r="44" spans="1:9" x14ac:dyDescent="0.45">
      <c r="A44" s="56" t="s">
        <v>232</v>
      </c>
      <c r="B44" s="78">
        <v>86</v>
      </c>
      <c r="C44" s="77">
        <v>67</v>
      </c>
      <c r="D44" s="77">
        <v>69</v>
      </c>
      <c r="E44" s="77">
        <v>55</v>
      </c>
      <c r="F44" s="73" t="s">
        <v>191</v>
      </c>
      <c r="G44" s="77">
        <v>45</v>
      </c>
      <c r="H44" s="77">
        <v>100</v>
      </c>
      <c r="I44" s="77">
        <f t="shared" si="3"/>
        <v>322</v>
      </c>
    </row>
    <row r="45" spans="1:9" x14ac:dyDescent="0.45">
      <c r="A45" s="56" t="s">
        <v>233</v>
      </c>
      <c r="B45" s="78">
        <v>62</v>
      </c>
      <c r="C45" s="77">
        <v>65</v>
      </c>
      <c r="D45" s="77">
        <v>53</v>
      </c>
      <c r="E45" s="77">
        <v>50</v>
      </c>
      <c r="F45" s="73" t="s">
        <v>191</v>
      </c>
      <c r="G45" s="77">
        <v>44</v>
      </c>
      <c r="H45" s="77">
        <v>94</v>
      </c>
      <c r="I45" s="77">
        <f t="shared" si="3"/>
        <v>274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I1"/>
  </mergeCells>
  <phoneticPr fontId="1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3"/>
  <sheetViews>
    <sheetView zoomScale="130" zoomScaleNormal="13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11.3046875" defaultRowHeight="14.5" x14ac:dyDescent="0.45"/>
  <cols>
    <col min="1" max="1" width="5.69140625" style="1" bestFit="1" customWidth="1"/>
    <col min="2" max="4" width="10" style="1" bestFit="1" customWidth="1"/>
    <col min="5" max="5" width="7.07421875" style="1" bestFit="1" customWidth="1"/>
    <col min="6" max="6" width="7.921875" style="1" bestFit="1" customWidth="1"/>
    <col min="7" max="7" width="14.15234375" style="1" bestFit="1" customWidth="1"/>
    <col min="8" max="8" width="10" style="1" bestFit="1" customWidth="1"/>
    <col min="9" max="16384" width="11.3046875" style="1"/>
  </cols>
  <sheetData>
    <row r="1" spans="1:8" x14ac:dyDescent="0.45">
      <c r="A1" s="2"/>
      <c r="B1" s="84" t="s">
        <v>380</v>
      </c>
      <c r="C1" s="32"/>
      <c r="D1" s="32"/>
      <c r="E1" s="32"/>
      <c r="F1" s="32"/>
      <c r="G1" s="32"/>
      <c r="H1" s="33"/>
    </row>
    <row r="2" spans="1:8" x14ac:dyDescent="0.45">
      <c r="A2" s="6" t="s">
        <v>0</v>
      </c>
      <c r="B2" s="69" t="s">
        <v>381</v>
      </c>
      <c r="C2" s="67" t="s">
        <v>382</v>
      </c>
      <c r="D2" s="67" t="s">
        <v>392</v>
      </c>
      <c r="E2" s="67" t="s">
        <v>393</v>
      </c>
      <c r="F2" s="64" t="s">
        <v>394</v>
      </c>
      <c r="G2" s="64" t="s">
        <v>387</v>
      </c>
      <c r="H2" s="69" t="s">
        <v>386</v>
      </c>
    </row>
    <row r="3" spans="1:8" x14ac:dyDescent="0.45">
      <c r="A3" s="6" t="s">
        <v>234</v>
      </c>
      <c r="B3" s="4">
        <v>48</v>
      </c>
      <c r="C3" s="4">
        <v>49</v>
      </c>
      <c r="D3" s="4">
        <v>82</v>
      </c>
      <c r="E3" s="8">
        <v>69</v>
      </c>
      <c r="F3" s="8">
        <v>21</v>
      </c>
      <c r="G3" s="13">
        <v>90</v>
      </c>
      <c r="H3" s="8">
        <f t="shared" ref="H3:H17" si="0">SUM(B3:F3)</f>
        <v>269</v>
      </c>
    </row>
    <row r="4" spans="1:8" ht="16.5" x14ac:dyDescent="0.45">
      <c r="A4" s="6" t="s">
        <v>235</v>
      </c>
      <c r="B4" s="8">
        <v>60</v>
      </c>
      <c r="C4" s="8">
        <v>18</v>
      </c>
      <c r="D4" s="4">
        <v>70</v>
      </c>
      <c r="E4" s="8">
        <v>60</v>
      </c>
      <c r="F4" s="8">
        <v>33</v>
      </c>
      <c r="G4" s="13">
        <v>93</v>
      </c>
      <c r="H4" s="8">
        <f t="shared" si="0"/>
        <v>241</v>
      </c>
    </row>
    <row r="5" spans="1:8" x14ac:dyDescent="0.45">
      <c r="A5" s="6" t="s">
        <v>236</v>
      </c>
      <c r="B5" s="8">
        <v>62</v>
      </c>
      <c r="C5" s="8">
        <v>81</v>
      </c>
      <c r="D5" s="8">
        <v>74</v>
      </c>
      <c r="E5" s="8">
        <v>69</v>
      </c>
      <c r="F5" s="8">
        <v>50</v>
      </c>
      <c r="G5" s="13">
        <v>119</v>
      </c>
      <c r="H5" s="8">
        <f t="shared" si="0"/>
        <v>336</v>
      </c>
    </row>
    <row r="6" spans="1:8" x14ac:dyDescent="0.45">
      <c r="A6" s="6" t="s">
        <v>237</v>
      </c>
      <c r="B6" s="8">
        <v>64</v>
      </c>
      <c r="C6" s="8">
        <v>73</v>
      </c>
      <c r="D6" s="8">
        <v>86</v>
      </c>
      <c r="E6" s="8">
        <v>54</v>
      </c>
      <c r="F6" s="8">
        <v>37</v>
      </c>
      <c r="G6" s="13">
        <v>91</v>
      </c>
      <c r="H6" s="8">
        <f t="shared" si="0"/>
        <v>314</v>
      </c>
    </row>
    <row r="7" spans="1:8" x14ac:dyDescent="0.45">
      <c r="A7" s="6" t="s">
        <v>238</v>
      </c>
      <c r="B7" s="8">
        <v>64</v>
      </c>
      <c r="C7" s="8">
        <v>74</v>
      </c>
      <c r="D7" s="8">
        <v>72</v>
      </c>
      <c r="E7" s="8">
        <v>75</v>
      </c>
      <c r="F7" s="8">
        <v>48</v>
      </c>
      <c r="G7" s="13">
        <v>123</v>
      </c>
      <c r="H7" s="8">
        <f t="shared" si="0"/>
        <v>333</v>
      </c>
    </row>
    <row r="8" spans="1:8" x14ac:dyDescent="0.45">
      <c r="A8" s="6" t="s">
        <v>239</v>
      </c>
      <c r="B8" s="8">
        <v>70</v>
      </c>
      <c r="C8" s="8">
        <v>50</v>
      </c>
      <c r="D8" s="8">
        <v>62</v>
      </c>
      <c r="E8" s="8">
        <v>42</v>
      </c>
      <c r="F8" s="8">
        <v>29</v>
      </c>
      <c r="G8" s="13">
        <v>71</v>
      </c>
      <c r="H8" s="8">
        <f t="shared" si="0"/>
        <v>253</v>
      </c>
    </row>
    <row r="9" spans="1:8" x14ac:dyDescent="0.45">
      <c r="A9" s="6" t="s">
        <v>240</v>
      </c>
      <c r="B9" s="8">
        <v>46</v>
      </c>
      <c r="C9" s="8">
        <v>39</v>
      </c>
      <c r="D9" s="8">
        <v>42</v>
      </c>
      <c r="E9" s="8">
        <v>39</v>
      </c>
      <c r="F9" s="8">
        <v>26</v>
      </c>
      <c r="G9" s="13">
        <v>65</v>
      </c>
      <c r="H9" s="8">
        <f t="shared" si="0"/>
        <v>192</v>
      </c>
    </row>
    <row r="10" spans="1:8" x14ac:dyDescent="0.45">
      <c r="A10" s="6" t="s">
        <v>241</v>
      </c>
      <c r="B10" s="8">
        <v>70</v>
      </c>
      <c r="C10" s="8">
        <v>75</v>
      </c>
      <c r="D10" s="8">
        <v>76</v>
      </c>
      <c r="E10" s="8">
        <v>35</v>
      </c>
      <c r="F10" s="8">
        <v>69</v>
      </c>
      <c r="G10" s="13">
        <v>104</v>
      </c>
      <c r="H10" s="8">
        <f t="shared" si="0"/>
        <v>325</v>
      </c>
    </row>
    <row r="11" spans="1:8" x14ac:dyDescent="0.45">
      <c r="A11" s="6" t="s">
        <v>242</v>
      </c>
      <c r="B11" s="8">
        <v>76</v>
      </c>
      <c r="C11" s="8">
        <v>69</v>
      </c>
      <c r="D11" s="8">
        <v>74</v>
      </c>
      <c r="E11" s="8">
        <v>45</v>
      </c>
      <c r="F11" s="8">
        <v>66</v>
      </c>
      <c r="G11" s="13">
        <v>111</v>
      </c>
      <c r="H11" s="8">
        <f t="shared" si="0"/>
        <v>330</v>
      </c>
    </row>
    <row r="12" spans="1:8" x14ac:dyDescent="0.45">
      <c r="A12" s="6" t="s">
        <v>243</v>
      </c>
      <c r="B12" s="8">
        <v>44</v>
      </c>
      <c r="C12" s="8">
        <v>68</v>
      </c>
      <c r="D12" s="8">
        <v>60</v>
      </c>
      <c r="E12" s="8">
        <v>34</v>
      </c>
      <c r="F12" s="8">
        <v>57</v>
      </c>
      <c r="G12" s="13">
        <v>91</v>
      </c>
      <c r="H12" s="8">
        <f t="shared" si="0"/>
        <v>263</v>
      </c>
    </row>
    <row r="13" spans="1:8" x14ac:dyDescent="0.45">
      <c r="A13" s="6" t="s">
        <v>244</v>
      </c>
      <c r="B13" s="8">
        <v>66</v>
      </c>
      <c r="C13" s="8">
        <v>64</v>
      </c>
      <c r="D13" s="8">
        <v>84</v>
      </c>
      <c r="E13" s="8">
        <v>37</v>
      </c>
      <c r="F13" s="8">
        <v>72</v>
      </c>
      <c r="G13" s="13">
        <v>109</v>
      </c>
      <c r="H13" s="8">
        <f t="shared" si="0"/>
        <v>323</v>
      </c>
    </row>
    <row r="14" spans="1:8" x14ac:dyDescent="0.45">
      <c r="A14" s="6" t="s">
        <v>245</v>
      </c>
      <c r="B14" s="8">
        <v>76</v>
      </c>
      <c r="C14" s="8">
        <v>62</v>
      </c>
      <c r="D14" s="8">
        <v>94</v>
      </c>
      <c r="E14" s="8">
        <v>43</v>
      </c>
      <c r="F14" s="8">
        <v>63</v>
      </c>
      <c r="G14" s="13">
        <v>106</v>
      </c>
      <c r="H14" s="8">
        <f t="shared" si="0"/>
        <v>338</v>
      </c>
    </row>
    <row r="15" spans="1:8" x14ac:dyDescent="0.45">
      <c r="A15" s="6" t="s">
        <v>246</v>
      </c>
      <c r="B15" s="8">
        <v>84</v>
      </c>
      <c r="C15" s="8">
        <v>95</v>
      </c>
      <c r="D15" s="8">
        <v>84</v>
      </c>
      <c r="E15" s="8">
        <v>81</v>
      </c>
      <c r="F15" s="8">
        <v>50</v>
      </c>
      <c r="G15" s="13">
        <v>131</v>
      </c>
      <c r="H15" s="8">
        <f t="shared" si="0"/>
        <v>394</v>
      </c>
    </row>
    <row r="16" spans="1:8" x14ac:dyDescent="0.45">
      <c r="A16" s="6" t="s">
        <v>247</v>
      </c>
      <c r="B16" s="8">
        <v>52</v>
      </c>
      <c r="C16" s="8">
        <v>52</v>
      </c>
      <c r="D16" s="8">
        <v>86</v>
      </c>
      <c r="E16" s="8">
        <v>51</v>
      </c>
      <c r="F16" s="8">
        <v>31</v>
      </c>
      <c r="G16" s="13">
        <v>82</v>
      </c>
      <c r="H16" s="8">
        <f t="shared" si="0"/>
        <v>272</v>
      </c>
    </row>
    <row r="17" spans="1:8" x14ac:dyDescent="0.45">
      <c r="A17" s="6" t="s">
        <v>248</v>
      </c>
      <c r="B17" s="8">
        <v>88</v>
      </c>
      <c r="C17" s="8">
        <v>95</v>
      </c>
      <c r="D17" s="8">
        <v>92</v>
      </c>
      <c r="E17" s="8">
        <v>78</v>
      </c>
      <c r="F17" s="8">
        <v>50</v>
      </c>
      <c r="G17" s="13">
        <v>128</v>
      </c>
      <c r="H17" s="8">
        <f t="shared" si="0"/>
        <v>403</v>
      </c>
    </row>
    <row r="18" spans="1:8" x14ac:dyDescent="0.45">
      <c r="A18" s="6" t="s">
        <v>249</v>
      </c>
      <c r="B18" s="6" t="s">
        <v>38</v>
      </c>
      <c r="C18" s="6" t="s">
        <v>38</v>
      </c>
      <c r="D18" s="6" t="s">
        <v>38</v>
      </c>
      <c r="E18" s="6" t="s">
        <v>38</v>
      </c>
      <c r="F18" s="6" t="s">
        <v>38</v>
      </c>
      <c r="G18" s="15" t="s">
        <v>38</v>
      </c>
      <c r="H18" s="6" t="s">
        <v>38</v>
      </c>
    </row>
    <row r="19" spans="1:8" x14ac:dyDescent="0.45">
      <c r="A19" s="6" t="s">
        <v>250</v>
      </c>
      <c r="B19" s="8">
        <v>74</v>
      </c>
      <c r="C19" s="8">
        <v>53</v>
      </c>
      <c r="D19" s="8">
        <v>84</v>
      </c>
      <c r="E19" s="8">
        <v>72</v>
      </c>
      <c r="F19" s="8">
        <v>43</v>
      </c>
      <c r="G19" s="13">
        <v>115</v>
      </c>
      <c r="H19" s="8">
        <f t="shared" ref="H19:H29" si="1">SUM(B19:F19)</f>
        <v>326</v>
      </c>
    </row>
    <row r="20" spans="1:8" x14ac:dyDescent="0.45">
      <c r="A20" s="6" t="s">
        <v>251</v>
      </c>
      <c r="B20" s="8">
        <v>84</v>
      </c>
      <c r="C20" s="8">
        <v>56</v>
      </c>
      <c r="D20" s="8">
        <v>80</v>
      </c>
      <c r="E20" s="8">
        <v>78</v>
      </c>
      <c r="F20" s="8">
        <v>58</v>
      </c>
      <c r="G20" s="13">
        <v>136</v>
      </c>
      <c r="H20" s="8">
        <f t="shared" si="1"/>
        <v>356</v>
      </c>
    </row>
    <row r="21" spans="1:8" x14ac:dyDescent="0.45">
      <c r="A21" s="6" t="s">
        <v>252</v>
      </c>
      <c r="B21" s="8">
        <v>88</v>
      </c>
      <c r="C21" s="8">
        <v>57</v>
      </c>
      <c r="D21" s="8">
        <v>92</v>
      </c>
      <c r="E21" s="8">
        <v>84</v>
      </c>
      <c r="F21" s="8">
        <v>58</v>
      </c>
      <c r="G21" s="13">
        <v>142</v>
      </c>
      <c r="H21" s="8">
        <f t="shared" si="1"/>
        <v>379</v>
      </c>
    </row>
    <row r="22" spans="1:8" x14ac:dyDescent="0.45">
      <c r="A22" s="6" t="s">
        <v>253</v>
      </c>
      <c r="B22" s="8">
        <v>58</v>
      </c>
      <c r="C22" s="8">
        <v>63</v>
      </c>
      <c r="D22" s="8">
        <v>70</v>
      </c>
      <c r="E22" s="8">
        <v>45</v>
      </c>
      <c r="F22" s="8">
        <v>35</v>
      </c>
      <c r="G22" s="13">
        <v>80</v>
      </c>
      <c r="H22" s="8">
        <f t="shared" si="1"/>
        <v>271</v>
      </c>
    </row>
    <row r="23" spans="1:8" x14ac:dyDescent="0.45">
      <c r="A23" s="6" t="s">
        <v>254</v>
      </c>
      <c r="B23" s="8">
        <v>66</v>
      </c>
      <c r="C23" s="8">
        <v>57</v>
      </c>
      <c r="D23" s="8">
        <v>76</v>
      </c>
      <c r="E23" s="8">
        <v>63</v>
      </c>
      <c r="F23" s="8">
        <v>38</v>
      </c>
      <c r="G23" s="13">
        <v>101</v>
      </c>
      <c r="H23" s="8">
        <f t="shared" si="1"/>
        <v>300</v>
      </c>
    </row>
    <row r="24" spans="1:8" x14ac:dyDescent="0.45">
      <c r="A24" s="6" t="s">
        <v>255</v>
      </c>
      <c r="B24" s="2">
        <v>72</v>
      </c>
      <c r="C24" s="2">
        <v>68</v>
      </c>
      <c r="D24" s="2">
        <v>86</v>
      </c>
      <c r="E24" s="8">
        <v>63</v>
      </c>
      <c r="F24" s="8">
        <v>43</v>
      </c>
      <c r="G24" s="13">
        <v>106</v>
      </c>
      <c r="H24" s="8">
        <f t="shared" si="1"/>
        <v>332</v>
      </c>
    </row>
    <row r="25" spans="1:8" x14ac:dyDescent="0.45">
      <c r="A25" s="6" t="s">
        <v>256</v>
      </c>
      <c r="B25" s="6">
        <v>68</v>
      </c>
      <c r="C25" s="6">
        <v>76</v>
      </c>
      <c r="D25" s="6">
        <v>62</v>
      </c>
      <c r="E25" s="8">
        <v>45</v>
      </c>
      <c r="F25" s="8">
        <v>25</v>
      </c>
      <c r="G25" s="13">
        <v>70</v>
      </c>
      <c r="H25" s="8">
        <f t="shared" si="1"/>
        <v>276</v>
      </c>
    </row>
    <row r="26" spans="1:8" x14ac:dyDescent="0.45">
      <c r="A26" s="6" t="s">
        <v>257</v>
      </c>
      <c r="B26" s="8">
        <v>86</v>
      </c>
      <c r="C26" s="8">
        <v>84</v>
      </c>
      <c r="D26" s="8">
        <v>86</v>
      </c>
      <c r="E26" s="8">
        <v>54</v>
      </c>
      <c r="F26" s="8">
        <v>41</v>
      </c>
      <c r="G26" s="13">
        <v>95</v>
      </c>
      <c r="H26" s="8">
        <f t="shared" si="1"/>
        <v>351</v>
      </c>
    </row>
    <row r="27" spans="1:8" x14ac:dyDescent="0.45">
      <c r="A27" s="6" t="s">
        <v>258</v>
      </c>
      <c r="B27" s="8">
        <v>74</v>
      </c>
      <c r="C27" s="8">
        <v>58</v>
      </c>
      <c r="D27" s="8">
        <v>86</v>
      </c>
      <c r="E27" s="8">
        <v>75</v>
      </c>
      <c r="F27" s="8">
        <v>42</v>
      </c>
      <c r="G27" s="13">
        <v>117</v>
      </c>
      <c r="H27" s="8">
        <f t="shared" si="1"/>
        <v>335</v>
      </c>
    </row>
    <row r="28" spans="1:8" x14ac:dyDescent="0.45">
      <c r="A28" s="6" t="s">
        <v>259</v>
      </c>
      <c r="B28" s="8">
        <v>50</v>
      </c>
      <c r="C28" s="8">
        <v>20</v>
      </c>
      <c r="D28" s="8">
        <v>44</v>
      </c>
      <c r="E28" s="8">
        <v>54</v>
      </c>
      <c r="F28" s="8">
        <v>36</v>
      </c>
      <c r="G28" s="13">
        <v>90</v>
      </c>
      <c r="H28" s="8">
        <f t="shared" si="1"/>
        <v>204</v>
      </c>
    </row>
    <row r="29" spans="1:8" x14ac:dyDescent="0.45">
      <c r="A29" s="6" t="s">
        <v>260</v>
      </c>
      <c r="B29" s="8">
        <v>62</v>
      </c>
      <c r="C29" s="8">
        <v>40</v>
      </c>
      <c r="D29" s="8">
        <v>58</v>
      </c>
      <c r="E29" s="8">
        <v>60</v>
      </c>
      <c r="F29" s="8">
        <v>36</v>
      </c>
      <c r="G29" s="13">
        <v>96</v>
      </c>
      <c r="H29" s="8">
        <f t="shared" si="1"/>
        <v>256</v>
      </c>
    </row>
    <row r="30" spans="1:8" x14ac:dyDescent="0.45">
      <c r="A30" s="6" t="s">
        <v>261</v>
      </c>
      <c r="B30" s="6" t="s">
        <v>38</v>
      </c>
      <c r="C30" s="6" t="s">
        <v>38</v>
      </c>
      <c r="D30" s="6" t="s">
        <v>38</v>
      </c>
      <c r="E30" s="6" t="s">
        <v>38</v>
      </c>
      <c r="F30" s="6" t="s">
        <v>38</v>
      </c>
      <c r="G30" s="15" t="s">
        <v>38</v>
      </c>
      <c r="H30" s="8" t="s">
        <v>38</v>
      </c>
    </row>
    <row r="31" spans="1:8" x14ac:dyDescent="0.45">
      <c r="A31" s="6" t="s">
        <v>262</v>
      </c>
      <c r="B31" s="8">
        <v>62</v>
      </c>
      <c r="C31" s="8">
        <v>64</v>
      </c>
      <c r="D31" s="8">
        <v>74</v>
      </c>
      <c r="E31" s="8">
        <v>48</v>
      </c>
      <c r="F31" s="8">
        <v>24</v>
      </c>
      <c r="G31" s="13">
        <v>72</v>
      </c>
      <c r="H31" s="8">
        <f t="shared" ref="H31:H39" si="2">SUM(B31:F31)</f>
        <v>272</v>
      </c>
    </row>
    <row r="32" spans="1:8" x14ac:dyDescent="0.45">
      <c r="A32" s="6" t="s">
        <v>263</v>
      </c>
      <c r="B32" s="8">
        <v>84</v>
      </c>
      <c r="C32" s="8">
        <v>82</v>
      </c>
      <c r="D32" s="8">
        <v>82</v>
      </c>
      <c r="E32" s="8">
        <v>63</v>
      </c>
      <c r="F32" s="8">
        <v>39</v>
      </c>
      <c r="G32" s="13">
        <v>102</v>
      </c>
      <c r="H32" s="8">
        <f t="shared" si="2"/>
        <v>350</v>
      </c>
    </row>
    <row r="33" spans="1:8" x14ac:dyDescent="0.45">
      <c r="A33" s="6" t="s">
        <v>264</v>
      </c>
      <c r="B33" s="8">
        <v>62</v>
      </c>
      <c r="C33" s="8">
        <v>40</v>
      </c>
      <c r="D33" s="8">
        <v>60</v>
      </c>
      <c r="E33" s="8">
        <v>39</v>
      </c>
      <c r="F33" s="8">
        <v>20</v>
      </c>
      <c r="G33" s="13">
        <v>59</v>
      </c>
      <c r="H33" s="8">
        <f t="shared" si="2"/>
        <v>221</v>
      </c>
    </row>
    <row r="34" spans="1:8" x14ac:dyDescent="0.45">
      <c r="A34" s="6" t="s">
        <v>265</v>
      </c>
      <c r="B34" s="8">
        <v>48</v>
      </c>
      <c r="C34" s="8">
        <v>35</v>
      </c>
      <c r="D34" s="8">
        <v>68</v>
      </c>
      <c r="E34" s="8">
        <v>69</v>
      </c>
      <c r="F34" s="8">
        <v>33</v>
      </c>
      <c r="G34" s="13">
        <v>102</v>
      </c>
      <c r="H34" s="8">
        <f t="shared" si="2"/>
        <v>253</v>
      </c>
    </row>
    <row r="35" spans="1:8" x14ac:dyDescent="0.45">
      <c r="A35" s="6" t="s">
        <v>266</v>
      </c>
      <c r="B35" s="8">
        <v>72</v>
      </c>
      <c r="C35" s="8">
        <v>75</v>
      </c>
      <c r="D35" s="8">
        <v>90</v>
      </c>
      <c r="E35" s="8">
        <v>57</v>
      </c>
      <c r="F35" s="8">
        <v>41</v>
      </c>
      <c r="G35" s="13">
        <v>98</v>
      </c>
      <c r="H35" s="8">
        <f t="shared" si="2"/>
        <v>335</v>
      </c>
    </row>
    <row r="36" spans="1:8" x14ac:dyDescent="0.45">
      <c r="A36" s="6" t="s">
        <v>267</v>
      </c>
      <c r="B36" s="8">
        <v>82</v>
      </c>
      <c r="C36" s="8">
        <v>86</v>
      </c>
      <c r="D36" s="8">
        <v>94</v>
      </c>
      <c r="E36" s="8">
        <v>78</v>
      </c>
      <c r="F36" s="8">
        <v>41</v>
      </c>
      <c r="G36" s="13">
        <v>119</v>
      </c>
      <c r="H36" s="8">
        <f t="shared" si="2"/>
        <v>381</v>
      </c>
    </row>
    <row r="37" spans="1:8" x14ac:dyDescent="0.45">
      <c r="A37" s="6" t="s">
        <v>268</v>
      </c>
      <c r="B37" s="8">
        <v>56</v>
      </c>
      <c r="C37" s="8">
        <v>95</v>
      </c>
      <c r="D37" s="8">
        <v>74</v>
      </c>
      <c r="E37" s="8">
        <v>45</v>
      </c>
      <c r="F37" s="8">
        <v>32</v>
      </c>
      <c r="G37" s="13">
        <v>77</v>
      </c>
      <c r="H37" s="8">
        <f t="shared" si="2"/>
        <v>302</v>
      </c>
    </row>
    <row r="38" spans="1:8" x14ac:dyDescent="0.45">
      <c r="A38" s="6" t="s">
        <v>269</v>
      </c>
      <c r="B38" s="8">
        <v>68</v>
      </c>
      <c r="C38" s="8">
        <v>33</v>
      </c>
      <c r="D38" s="8">
        <v>90</v>
      </c>
      <c r="E38" s="8">
        <v>84</v>
      </c>
      <c r="F38" s="8">
        <v>42</v>
      </c>
      <c r="G38" s="13">
        <v>126</v>
      </c>
      <c r="H38" s="8">
        <f t="shared" si="2"/>
        <v>317</v>
      </c>
    </row>
    <row r="39" spans="1:8" x14ac:dyDescent="0.45">
      <c r="A39" s="6" t="s">
        <v>270</v>
      </c>
      <c r="B39" s="8">
        <v>50</v>
      </c>
      <c r="C39" s="8">
        <v>43</v>
      </c>
      <c r="D39" s="8">
        <v>44</v>
      </c>
      <c r="E39" s="8">
        <v>39</v>
      </c>
      <c r="F39" s="8">
        <v>30</v>
      </c>
      <c r="G39" s="13">
        <v>69</v>
      </c>
      <c r="H39" s="8">
        <f t="shared" si="2"/>
        <v>206</v>
      </c>
    </row>
    <row r="40" spans="1:8" x14ac:dyDescent="0.45">
      <c r="A40" s="6" t="s">
        <v>271</v>
      </c>
      <c r="B40" s="6" t="s">
        <v>38</v>
      </c>
      <c r="C40" s="6" t="s">
        <v>38</v>
      </c>
      <c r="D40" s="6" t="s">
        <v>38</v>
      </c>
      <c r="E40" s="6" t="s">
        <v>38</v>
      </c>
      <c r="F40" s="6" t="s">
        <v>38</v>
      </c>
      <c r="G40" s="15" t="s">
        <v>38</v>
      </c>
      <c r="H40" s="8" t="s">
        <v>38</v>
      </c>
    </row>
    <row r="41" spans="1:8" x14ac:dyDescent="0.45">
      <c r="A41" s="6" t="s">
        <v>272</v>
      </c>
      <c r="B41" s="8">
        <v>68</v>
      </c>
      <c r="C41" s="8">
        <v>42</v>
      </c>
      <c r="D41" s="8">
        <v>68</v>
      </c>
      <c r="E41" s="8">
        <v>69</v>
      </c>
      <c r="F41" s="8">
        <v>28</v>
      </c>
      <c r="G41" s="13">
        <v>97</v>
      </c>
      <c r="H41" s="8">
        <f t="shared" ref="H41:H43" si="3">SUM(B41:F41)</f>
        <v>275</v>
      </c>
    </row>
    <row r="42" spans="1:8" x14ac:dyDescent="0.45">
      <c r="A42" s="6" t="s">
        <v>273</v>
      </c>
      <c r="B42" s="8">
        <v>54</v>
      </c>
      <c r="C42" s="8">
        <v>49</v>
      </c>
      <c r="D42" s="8">
        <v>30</v>
      </c>
      <c r="E42" s="8">
        <v>48</v>
      </c>
      <c r="F42" s="8">
        <v>24</v>
      </c>
      <c r="G42" s="13">
        <v>72</v>
      </c>
      <c r="H42" s="8">
        <f t="shared" si="3"/>
        <v>205</v>
      </c>
    </row>
    <row r="43" spans="1:8" x14ac:dyDescent="0.45">
      <c r="A43" s="6" t="s">
        <v>274</v>
      </c>
      <c r="B43" s="8">
        <v>62</v>
      </c>
      <c r="C43" s="8">
        <v>88</v>
      </c>
      <c r="D43" s="8">
        <v>74</v>
      </c>
      <c r="E43" s="8">
        <v>48</v>
      </c>
      <c r="F43" s="8">
        <v>50</v>
      </c>
      <c r="G43" s="13">
        <v>98</v>
      </c>
      <c r="H43" s="8">
        <f t="shared" si="3"/>
        <v>322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H1"/>
  </mergeCells>
  <phoneticPr fontId="10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"/>
  <sheetViews>
    <sheetView zoomScale="190" zoomScaleNormal="190" workbookViewId="0">
      <pane xSplit="1" ySplit="1" topLeftCell="B2" activePane="bottomRight" state="frozen"/>
      <selection pane="topRight"/>
      <selection pane="bottomLeft"/>
      <selection pane="bottomRight" activeCell="D10" sqref="D10"/>
    </sheetView>
  </sheetViews>
  <sheetFormatPr defaultColWidth="18.53515625" defaultRowHeight="14.5" x14ac:dyDescent="0.45"/>
  <cols>
    <col min="1" max="1" width="6.15234375" style="1" bestFit="1" customWidth="1"/>
    <col min="2" max="4" width="10" style="1" bestFit="1" customWidth="1"/>
    <col min="5" max="5" width="9.07421875" style="1" bestFit="1" customWidth="1"/>
    <col min="6" max="6" width="9.53515625" style="1" bestFit="1" customWidth="1"/>
    <col min="7" max="7" width="14.07421875" style="1" bestFit="1" customWidth="1"/>
    <col min="8" max="8" width="10" style="1" bestFit="1" customWidth="1"/>
    <col min="9" max="16384" width="18.53515625" style="1"/>
  </cols>
  <sheetData>
    <row r="1" spans="1:8" x14ac:dyDescent="0.45">
      <c r="A1" s="46"/>
      <c r="B1" s="85" t="s">
        <v>380</v>
      </c>
      <c r="C1" s="79"/>
      <c r="D1" s="79"/>
      <c r="E1" s="79"/>
      <c r="F1" s="79"/>
      <c r="G1" s="79"/>
      <c r="H1" s="79"/>
    </row>
    <row r="2" spans="1:8" x14ac:dyDescent="0.45">
      <c r="A2" s="73" t="s">
        <v>0</v>
      </c>
      <c r="B2" s="55" t="s">
        <v>381</v>
      </c>
      <c r="C2" s="76" t="s">
        <v>382</v>
      </c>
      <c r="D2" s="76" t="s">
        <v>388</v>
      </c>
      <c r="E2" s="76" t="s">
        <v>390</v>
      </c>
      <c r="F2" s="75" t="s">
        <v>395</v>
      </c>
      <c r="G2" s="75" t="s">
        <v>387</v>
      </c>
      <c r="H2" s="76" t="s">
        <v>396</v>
      </c>
    </row>
    <row r="3" spans="1:8" ht="16.5" x14ac:dyDescent="0.45">
      <c r="A3" s="73" t="s">
        <v>275</v>
      </c>
      <c r="B3" s="86">
        <v>62</v>
      </c>
      <c r="C3" s="86">
        <v>42</v>
      </c>
      <c r="D3" s="86">
        <v>69</v>
      </c>
      <c r="E3" s="73" t="s">
        <v>191</v>
      </c>
      <c r="F3" s="77">
        <v>99</v>
      </c>
      <c r="G3" s="77"/>
      <c r="H3" s="77">
        <v>272</v>
      </c>
    </row>
    <row r="4" spans="1:8" x14ac:dyDescent="0.45">
      <c r="A4" s="73" t="s">
        <v>276</v>
      </c>
      <c r="B4" s="77">
        <v>36</v>
      </c>
      <c r="C4" s="77">
        <v>33</v>
      </c>
      <c r="D4" s="77">
        <v>26</v>
      </c>
      <c r="E4" s="73" t="s">
        <v>191</v>
      </c>
      <c r="F4" s="77">
        <v>87</v>
      </c>
      <c r="G4" s="77"/>
      <c r="H4" s="77">
        <v>182</v>
      </c>
    </row>
    <row r="5" spans="1:8" x14ac:dyDescent="0.45">
      <c r="A5" s="73" t="s">
        <v>277</v>
      </c>
      <c r="B5" s="77">
        <v>76</v>
      </c>
      <c r="C5" s="77">
        <v>69</v>
      </c>
      <c r="D5" s="77">
        <v>61</v>
      </c>
      <c r="E5" s="73" t="s">
        <v>191</v>
      </c>
      <c r="F5" s="77">
        <v>115</v>
      </c>
      <c r="G5" s="77"/>
      <c r="H5" s="77">
        <v>321</v>
      </c>
    </row>
    <row r="6" spans="1:8" x14ac:dyDescent="0.45">
      <c r="A6" s="73" t="s">
        <v>278</v>
      </c>
      <c r="B6" s="77">
        <v>52</v>
      </c>
      <c r="C6" s="77">
        <v>50</v>
      </c>
      <c r="D6" s="77">
        <v>56</v>
      </c>
      <c r="E6" s="73" t="s">
        <v>191</v>
      </c>
      <c r="F6" s="77">
        <v>111</v>
      </c>
      <c r="G6" s="77"/>
      <c r="H6" s="77">
        <v>269</v>
      </c>
    </row>
    <row r="7" spans="1:8" x14ac:dyDescent="0.45">
      <c r="A7" s="73" t="s">
        <v>279</v>
      </c>
      <c r="B7" s="87">
        <v>76</v>
      </c>
      <c r="C7" s="87">
        <v>93</v>
      </c>
      <c r="D7" s="73">
        <v>79</v>
      </c>
      <c r="E7" s="73" t="s">
        <v>191</v>
      </c>
      <c r="F7" s="77">
        <v>115</v>
      </c>
      <c r="G7" s="77"/>
      <c r="H7" s="77">
        <v>363</v>
      </c>
    </row>
    <row r="8" spans="1:8" x14ac:dyDescent="0.45">
      <c r="A8" s="73" t="s">
        <v>280</v>
      </c>
      <c r="B8" s="56">
        <v>76</v>
      </c>
      <c r="C8" s="87">
        <v>72</v>
      </c>
      <c r="D8" s="87">
        <v>46</v>
      </c>
      <c r="E8" s="73" t="s">
        <v>191</v>
      </c>
      <c r="F8" s="77">
        <v>112</v>
      </c>
      <c r="G8" s="77"/>
      <c r="H8" s="77">
        <v>306</v>
      </c>
    </row>
    <row r="9" spans="1:8" x14ac:dyDescent="0.45">
      <c r="A9" s="73" t="s">
        <v>281</v>
      </c>
      <c r="B9" s="87">
        <v>82</v>
      </c>
      <c r="C9" s="87">
        <v>86</v>
      </c>
      <c r="D9" s="73">
        <v>79</v>
      </c>
      <c r="E9" s="73" t="s">
        <v>191</v>
      </c>
      <c r="F9" s="77">
        <v>111</v>
      </c>
      <c r="G9" s="77"/>
      <c r="H9" s="77">
        <v>358</v>
      </c>
    </row>
    <row r="10" spans="1:8" x14ac:dyDescent="0.45">
      <c r="A10" s="73" t="s">
        <v>282</v>
      </c>
      <c r="B10" s="87">
        <v>72</v>
      </c>
      <c r="C10" s="87">
        <v>82</v>
      </c>
      <c r="D10" s="73">
        <v>71</v>
      </c>
      <c r="E10" s="73" t="s">
        <v>191</v>
      </c>
      <c r="F10" s="77">
        <v>99</v>
      </c>
      <c r="G10" s="77"/>
      <c r="H10" s="77">
        <v>324</v>
      </c>
    </row>
    <row r="11" spans="1:8" x14ac:dyDescent="0.45">
      <c r="A11" s="73" t="s">
        <v>283</v>
      </c>
      <c r="B11" s="73" t="s">
        <v>4</v>
      </c>
      <c r="C11" s="73" t="s">
        <v>4</v>
      </c>
      <c r="D11" s="73" t="s">
        <v>4</v>
      </c>
      <c r="E11" s="73" t="s">
        <v>191</v>
      </c>
      <c r="F11" s="73" t="s">
        <v>4</v>
      </c>
      <c r="G11" s="73"/>
      <c r="H11" s="73" t="s">
        <v>4</v>
      </c>
    </row>
    <row r="12" spans="1:8" x14ac:dyDescent="0.45">
      <c r="A12" s="73" t="s">
        <v>284</v>
      </c>
      <c r="B12" s="87">
        <v>74</v>
      </c>
      <c r="C12" s="87">
        <v>83</v>
      </c>
      <c r="D12" s="73">
        <v>60</v>
      </c>
      <c r="E12" s="73" t="s">
        <v>191</v>
      </c>
      <c r="F12" s="77">
        <v>115</v>
      </c>
      <c r="G12" s="77"/>
      <c r="H12" s="77">
        <v>332</v>
      </c>
    </row>
    <row r="13" spans="1:8" x14ac:dyDescent="0.45">
      <c r="A13" s="73" t="s">
        <v>285</v>
      </c>
      <c r="B13" s="87">
        <v>70</v>
      </c>
      <c r="C13" s="73">
        <v>89</v>
      </c>
      <c r="D13" s="73">
        <v>61</v>
      </c>
      <c r="E13" s="73" t="s">
        <v>191</v>
      </c>
      <c r="F13" s="77">
        <v>108</v>
      </c>
      <c r="G13" s="77"/>
      <c r="H13" s="77">
        <v>328</v>
      </c>
    </row>
    <row r="14" spans="1:8" x14ac:dyDescent="0.45">
      <c r="A14" s="73" t="s">
        <v>286</v>
      </c>
      <c r="B14" s="77">
        <v>64</v>
      </c>
      <c r="C14" s="77">
        <v>68</v>
      </c>
      <c r="D14" s="77">
        <v>57</v>
      </c>
      <c r="E14" s="73" t="s">
        <v>191</v>
      </c>
      <c r="F14" s="77">
        <v>110</v>
      </c>
      <c r="G14" s="77"/>
      <c r="H14" s="77">
        <v>299</v>
      </c>
    </row>
    <row r="15" spans="1:8" x14ac:dyDescent="0.45">
      <c r="A15" s="73" t="s">
        <v>287</v>
      </c>
      <c r="B15" s="77">
        <v>48</v>
      </c>
      <c r="C15" s="77">
        <v>74</v>
      </c>
      <c r="D15" s="77">
        <v>69</v>
      </c>
      <c r="E15" s="73" t="s">
        <v>191</v>
      </c>
      <c r="F15" s="77">
        <v>108</v>
      </c>
      <c r="G15" s="77"/>
      <c r="H15" s="77">
        <v>299</v>
      </c>
    </row>
    <row r="16" spans="1:8" x14ac:dyDescent="0.45">
      <c r="A16" s="73" t="s">
        <v>288</v>
      </c>
      <c r="B16" s="87">
        <v>64</v>
      </c>
      <c r="C16" s="73">
        <v>71</v>
      </c>
      <c r="D16" s="73">
        <v>86</v>
      </c>
      <c r="E16" s="73" t="s">
        <v>191</v>
      </c>
      <c r="F16" s="77">
        <v>103</v>
      </c>
      <c r="G16" s="77"/>
      <c r="H16" s="77">
        <v>324</v>
      </c>
    </row>
    <row r="17" spans="1:8" x14ac:dyDescent="0.45">
      <c r="A17" s="73" t="s">
        <v>289</v>
      </c>
      <c r="B17" s="87">
        <v>88</v>
      </c>
      <c r="C17" s="73">
        <v>77</v>
      </c>
      <c r="D17" s="73">
        <v>85</v>
      </c>
      <c r="E17" s="73" t="s">
        <v>191</v>
      </c>
      <c r="F17" s="77">
        <v>100</v>
      </c>
      <c r="G17" s="77"/>
      <c r="H17" s="77">
        <v>350</v>
      </c>
    </row>
    <row r="18" spans="1:8" x14ac:dyDescent="0.45">
      <c r="A18" s="73" t="s">
        <v>290</v>
      </c>
      <c r="B18" s="87">
        <v>84</v>
      </c>
      <c r="C18" s="73">
        <v>80</v>
      </c>
      <c r="D18" s="73">
        <v>92</v>
      </c>
      <c r="E18" s="73" t="s">
        <v>191</v>
      </c>
      <c r="F18" s="77">
        <v>115</v>
      </c>
      <c r="G18" s="77"/>
      <c r="H18" s="77">
        <v>371</v>
      </c>
    </row>
    <row r="19" spans="1:8" x14ac:dyDescent="0.45">
      <c r="A19" s="73" t="s">
        <v>291</v>
      </c>
      <c r="B19" s="73">
        <v>60</v>
      </c>
      <c r="C19" s="56">
        <v>76</v>
      </c>
      <c r="D19" s="73">
        <v>87</v>
      </c>
      <c r="E19" s="73" t="s">
        <v>191</v>
      </c>
      <c r="F19" s="77">
        <v>110</v>
      </c>
      <c r="G19" s="77"/>
      <c r="H19" s="77">
        <v>333</v>
      </c>
    </row>
    <row r="20" spans="1:8" x14ac:dyDescent="0.45">
      <c r="A20" s="73" t="s">
        <v>292</v>
      </c>
      <c r="B20" s="87">
        <v>82</v>
      </c>
      <c r="C20" s="56">
        <v>84</v>
      </c>
      <c r="D20" s="73">
        <v>88</v>
      </c>
      <c r="E20" s="73" t="s">
        <v>191</v>
      </c>
      <c r="F20" s="77">
        <v>113</v>
      </c>
      <c r="G20" s="77"/>
      <c r="H20" s="77">
        <v>367</v>
      </c>
    </row>
    <row r="21" spans="1:8" x14ac:dyDescent="0.45">
      <c r="A21" s="73" t="s">
        <v>293</v>
      </c>
      <c r="B21" s="87">
        <v>82</v>
      </c>
      <c r="C21" s="73">
        <v>74</v>
      </c>
      <c r="D21" s="73">
        <v>72</v>
      </c>
      <c r="E21" s="73" t="s">
        <v>191</v>
      </c>
      <c r="F21" s="77">
        <v>113</v>
      </c>
      <c r="G21" s="77"/>
      <c r="H21" s="77">
        <v>341</v>
      </c>
    </row>
    <row r="22" spans="1:8" x14ac:dyDescent="0.45">
      <c r="A22" s="73" t="s">
        <v>294</v>
      </c>
      <c r="B22" s="77">
        <v>86</v>
      </c>
      <c r="C22" s="77">
        <v>60</v>
      </c>
      <c r="D22" s="77">
        <v>84</v>
      </c>
      <c r="E22" s="73" t="s">
        <v>191</v>
      </c>
      <c r="F22" s="77">
        <v>91</v>
      </c>
      <c r="G22" s="77"/>
      <c r="H22" s="77">
        <v>321</v>
      </c>
    </row>
    <row r="23" spans="1:8" x14ac:dyDescent="0.45">
      <c r="A23" s="73" t="s">
        <v>295</v>
      </c>
      <c r="B23" s="87">
        <v>88</v>
      </c>
      <c r="C23" s="73">
        <v>71</v>
      </c>
      <c r="D23" s="73">
        <v>86</v>
      </c>
      <c r="E23" s="73" t="s">
        <v>191</v>
      </c>
      <c r="F23" s="77">
        <v>103</v>
      </c>
      <c r="G23" s="77"/>
      <c r="H23" s="77">
        <v>348</v>
      </c>
    </row>
    <row r="24" spans="1:8" x14ac:dyDescent="0.45">
      <c r="A24" s="73" t="s">
        <v>296</v>
      </c>
      <c r="B24" s="87">
        <v>84</v>
      </c>
      <c r="C24" s="73">
        <v>78</v>
      </c>
      <c r="D24" s="73">
        <v>89</v>
      </c>
      <c r="E24" s="73" t="s">
        <v>191</v>
      </c>
      <c r="F24" s="77">
        <v>103</v>
      </c>
      <c r="G24" s="77"/>
      <c r="H24" s="77">
        <v>354</v>
      </c>
    </row>
    <row r="25" spans="1:8" x14ac:dyDescent="0.45">
      <c r="A25" s="73" t="s">
        <v>297</v>
      </c>
      <c r="B25" s="73">
        <v>78</v>
      </c>
      <c r="C25" s="73">
        <v>67</v>
      </c>
      <c r="D25" s="73">
        <v>76</v>
      </c>
      <c r="E25" s="73" t="s">
        <v>191</v>
      </c>
      <c r="F25" s="77">
        <v>103</v>
      </c>
      <c r="G25" s="77"/>
      <c r="H25" s="77">
        <v>324</v>
      </c>
    </row>
    <row r="26" spans="1:8" x14ac:dyDescent="0.45">
      <c r="A26" s="73" t="s">
        <v>298</v>
      </c>
      <c r="B26" s="73">
        <v>80</v>
      </c>
      <c r="C26" s="73">
        <v>89</v>
      </c>
      <c r="D26" s="73">
        <v>92</v>
      </c>
      <c r="E26" s="73" t="s">
        <v>191</v>
      </c>
      <c r="F26" s="77">
        <v>108</v>
      </c>
      <c r="G26" s="77"/>
      <c r="H26" s="77">
        <v>369</v>
      </c>
    </row>
    <row r="27" spans="1:8" x14ac:dyDescent="0.45">
      <c r="A27" s="73" t="s">
        <v>299</v>
      </c>
      <c r="B27" s="73">
        <v>84</v>
      </c>
      <c r="C27" s="73">
        <v>83</v>
      </c>
      <c r="D27" s="73">
        <v>98</v>
      </c>
      <c r="E27" s="73" t="s">
        <v>191</v>
      </c>
      <c r="F27" s="77">
        <v>106</v>
      </c>
      <c r="G27" s="77"/>
      <c r="H27" s="77">
        <v>371</v>
      </c>
    </row>
    <row r="28" spans="1:8" x14ac:dyDescent="0.45">
      <c r="A28" s="56" t="s">
        <v>300</v>
      </c>
      <c r="B28" s="77">
        <v>62</v>
      </c>
      <c r="C28" s="77">
        <v>58</v>
      </c>
      <c r="D28" s="77">
        <v>75</v>
      </c>
      <c r="E28" s="73" t="s">
        <v>191</v>
      </c>
      <c r="F28" s="77">
        <v>89</v>
      </c>
      <c r="G28" s="77"/>
      <c r="H28" s="77">
        <v>284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H1"/>
  </mergeCells>
  <phoneticPr fontId="10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4"/>
  <sheetViews>
    <sheetView zoomScale="145" zoomScaleNormal="145" workbookViewId="0">
      <pane xSplit="1" ySplit="1" topLeftCell="C2" activePane="bottomRight" state="frozen"/>
      <selection pane="topRight"/>
      <selection pane="bottomLeft"/>
      <selection pane="bottomRight" activeCell="E22" sqref="E22"/>
    </sheetView>
  </sheetViews>
  <sheetFormatPr defaultColWidth="21.3046875" defaultRowHeight="14.5" x14ac:dyDescent="0.45"/>
  <cols>
    <col min="1" max="1" width="5.69140625" style="13" bestFit="1" customWidth="1"/>
    <col min="2" max="4" width="11.3046875" style="13" bestFit="1" customWidth="1"/>
    <col min="5" max="5" width="12.3046875" style="13" bestFit="1" customWidth="1"/>
    <col min="6" max="6" width="11.3046875" style="13" bestFit="1" customWidth="1"/>
    <col min="7" max="7" width="14.07421875" style="13" bestFit="1" customWidth="1"/>
    <col min="8" max="8" width="11.3046875" style="13" bestFit="1" customWidth="1"/>
    <col min="9" max="16384" width="21.3046875" style="1"/>
  </cols>
  <sheetData>
    <row r="1" spans="1:8" x14ac:dyDescent="0.45">
      <c r="A1" s="2"/>
      <c r="B1" s="71" t="s">
        <v>380</v>
      </c>
      <c r="C1" s="31"/>
      <c r="D1" s="31"/>
      <c r="E1" s="31"/>
      <c r="F1" s="31"/>
      <c r="G1" s="31"/>
      <c r="H1" s="31"/>
    </row>
    <row r="2" spans="1:8" x14ac:dyDescent="0.45">
      <c r="A2" s="15" t="s">
        <v>0</v>
      </c>
      <c r="B2" s="61" t="s">
        <v>381</v>
      </c>
      <c r="C2" s="62" t="s">
        <v>382</v>
      </c>
      <c r="D2" s="62" t="s">
        <v>397</v>
      </c>
      <c r="E2" s="62" t="s">
        <v>398</v>
      </c>
      <c r="F2" s="64" t="s">
        <v>399</v>
      </c>
      <c r="G2" s="64" t="s">
        <v>387</v>
      </c>
      <c r="H2" s="62" t="s">
        <v>386</v>
      </c>
    </row>
    <row r="3" spans="1:8" x14ac:dyDescent="0.45">
      <c r="A3" s="15" t="s">
        <v>301</v>
      </c>
      <c r="B3" s="16">
        <v>76</v>
      </c>
      <c r="C3" s="16">
        <v>75</v>
      </c>
      <c r="D3" s="16">
        <v>78</v>
      </c>
      <c r="E3" s="16">
        <v>75</v>
      </c>
      <c r="F3" s="16">
        <v>72</v>
      </c>
      <c r="G3" s="16">
        <v>147</v>
      </c>
      <c r="H3" s="16">
        <v>376</v>
      </c>
    </row>
    <row r="4" spans="1:8" x14ac:dyDescent="0.45">
      <c r="A4" s="15" t="s">
        <v>302</v>
      </c>
      <c r="B4" s="16">
        <v>72</v>
      </c>
      <c r="C4" s="16">
        <v>74</v>
      </c>
      <c r="D4" s="16">
        <v>47</v>
      </c>
      <c r="E4" s="16">
        <v>59</v>
      </c>
      <c r="F4" s="16">
        <v>57</v>
      </c>
      <c r="G4" s="16">
        <v>116</v>
      </c>
      <c r="H4" s="16">
        <v>309</v>
      </c>
    </row>
    <row r="5" spans="1:8" x14ac:dyDescent="0.45">
      <c r="A5" s="15" t="s">
        <v>303</v>
      </c>
      <c r="B5" s="16">
        <v>70</v>
      </c>
      <c r="C5" s="16">
        <v>67</v>
      </c>
      <c r="D5" s="16">
        <v>58</v>
      </c>
      <c r="E5" s="16">
        <v>73</v>
      </c>
      <c r="F5" s="16">
        <v>48</v>
      </c>
      <c r="G5" s="16">
        <v>121</v>
      </c>
      <c r="H5" s="16">
        <v>316</v>
      </c>
    </row>
    <row r="6" spans="1:8" x14ac:dyDescent="0.45">
      <c r="A6" s="15" t="s">
        <v>304</v>
      </c>
      <c r="B6" s="16">
        <v>76</v>
      </c>
      <c r="C6" s="16">
        <v>94</v>
      </c>
      <c r="D6" s="16">
        <v>72</v>
      </c>
      <c r="E6" s="16">
        <v>65</v>
      </c>
      <c r="F6" s="16">
        <v>66</v>
      </c>
      <c r="G6" s="16">
        <v>131</v>
      </c>
      <c r="H6" s="16">
        <v>373</v>
      </c>
    </row>
    <row r="7" spans="1:8" x14ac:dyDescent="0.45">
      <c r="A7" s="15" t="s">
        <v>305</v>
      </c>
      <c r="B7" s="16">
        <v>56</v>
      </c>
      <c r="C7" s="16">
        <v>47</v>
      </c>
      <c r="D7" s="16">
        <v>57</v>
      </c>
      <c r="E7" s="16">
        <v>58</v>
      </c>
      <c r="F7" s="16">
        <v>51</v>
      </c>
      <c r="G7" s="16">
        <v>109</v>
      </c>
      <c r="H7" s="16">
        <v>269</v>
      </c>
    </row>
    <row r="8" spans="1:8" x14ac:dyDescent="0.45">
      <c r="A8" s="15" t="s">
        <v>306</v>
      </c>
      <c r="B8" s="16">
        <v>76</v>
      </c>
      <c r="C8" s="16">
        <v>75</v>
      </c>
      <c r="D8" s="16">
        <v>73</v>
      </c>
      <c r="E8" s="16">
        <v>58</v>
      </c>
      <c r="F8" s="16">
        <v>63</v>
      </c>
      <c r="G8" s="16">
        <v>121</v>
      </c>
      <c r="H8" s="16">
        <v>345</v>
      </c>
    </row>
    <row r="9" spans="1:8" x14ac:dyDescent="0.45">
      <c r="A9" s="15" t="s">
        <v>307</v>
      </c>
      <c r="B9" s="16"/>
      <c r="C9" s="16">
        <v>61</v>
      </c>
      <c r="D9" s="16">
        <v>35</v>
      </c>
      <c r="E9" s="16">
        <v>45</v>
      </c>
      <c r="F9" s="16">
        <v>30</v>
      </c>
      <c r="G9" s="16">
        <v>75</v>
      </c>
      <c r="H9" s="16">
        <v>171</v>
      </c>
    </row>
    <row r="10" spans="1:8" x14ac:dyDescent="0.45">
      <c r="A10" s="15" t="s">
        <v>308</v>
      </c>
      <c r="B10" s="16">
        <v>68</v>
      </c>
      <c r="C10" s="16">
        <v>71</v>
      </c>
      <c r="D10" s="16">
        <v>64</v>
      </c>
      <c r="E10" s="16">
        <v>64</v>
      </c>
      <c r="F10" s="16">
        <v>57</v>
      </c>
      <c r="G10" s="16">
        <v>121</v>
      </c>
      <c r="H10" s="16">
        <v>324</v>
      </c>
    </row>
    <row r="11" spans="1:8" x14ac:dyDescent="0.45">
      <c r="A11" s="15" t="s">
        <v>309</v>
      </c>
      <c r="B11" s="16">
        <v>76</v>
      </c>
      <c r="C11" s="16">
        <v>57</v>
      </c>
      <c r="D11" s="16">
        <v>31</v>
      </c>
      <c r="E11" s="16">
        <v>64</v>
      </c>
      <c r="F11" s="16">
        <v>39</v>
      </c>
      <c r="G11" s="16">
        <v>103</v>
      </c>
      <c r="H11" s="16">
        <v>267</v>
      </c>
    </row>
    <row r="12" spans="1:8" x14ac:dyDescent="0.45">
      <c r="A12" s="15" t="s">
        <v>310</v>
      </c>
      <c r="B12" s="16">
        <v>58</v>
      </c>
      <c r="C12" s="16">
        <v>60</v>
      </c>
      <c r="D12" s="16">
        <v>51</v>
      </c>
      <c r="E12" s="16">
        <v>64</v>
      </c>
      <c r="F12" s="16">
        <v>51</v>
      </c>
      <c r="G12" s="16">
        <v>115</v>
      </c>
      <c r="H12" s="16">
        <v>284</v>
      </c>
    </row>
    <row r="13" spans="1:8" x14ac:dyDescent="0.45">
      <c r="A13" s="15" t="s">
        <v>311</v>
      </c>
      <c r="B13" s="16">
        <v>60</v>
      </c>
      <c r="C13" s="16">
        <v>55</v>
      </c>
      <c r="D13" s="16">
        <v>47</v>
      </c>
      <c r="E13" s="16">
        <v>37</v>
      </c>
      <c r="F13" s="16">
        <v>30</v>
      </c>
      <c r="G13" s="16">
        <v>67</v>
      </c>
      <c r="H13" s="16">
        <v>229</v>
      </c>
    </row>
    <row r="14" spans="1:8" x14ac:dyDescent="0.45">
      <c r="A14" s="15" t="s">
        <v>312</v>
      </c>
      <c r="B14" s="16">
        <v>54</v>
      </c>
      <c r="C14" s="16">
        <v>66</v>
      </c>
      <c r="D14" s="16">
        <v>59</v>
      </c>
      <c r="E14" s="16">
        <v>63</v>
      </c>
      <c r="F14" s="16">
        <v>51</v>
      </c>
      <c r="G14" s="16">
        <v>114</v>
      </c>
      <c r="H14" s="16">
        <v>293</v>
      </c>
    </row>
    <row r="15" spans="1:8" x14ac:dyDescent="0.45">
      <c r="A15" s="15" t="s">
        <v>313</v>
      </c>
      <c r="B15" s="16">
        <v>64</v>
      </c>
      <c r="C15" s="16">
        <v>95</v>
      </c>
      <c r="D15" s="16">
        <v>72</v>
      </c>
      <c r="E15" s="16">
        <v>65</v>
      </c>
      <c r="F15" s="16">
        <v>69</v>
      </c>
      <c r="G15" s="16">
        <v>134</v>
      </c>
      <c r="H15" s="16">
        <v>365</v>
      </c>
    </row>
    <row r="16" spans="1:8" x14ac:dyDescent="0.45">
      <c r="A16" s="15" t="s">
        <v>314</v>
      </c>
      <c r="B16" s="16">
        <v>82</v>
      </c>
      <c r="C16" s="16">
        <v>59</v>
      </c>
      <c r="D16" s="16">
        <v>76</v>
      </c>
      <c r="E16" s="16">
        <v>60</v>
      </c>
      <c r="F16" s="16">
        <v>66</v>
      </c>
      <c r="G16" s="16">
        <v>126</v>
      </c>
      <c r="H16" s="16">
        <v>343</v>
      </c>
    </row>
    <row r="17" spans="1:8" x14ac:dyDescent="0.45">
      <c r="A17" s="15" t="s">
        <v>315</v>
      </c>
      <c r="B17" s="16">
        <v>66</v>
      </c>
      <c r="C17" s="16">
        <v>72</v>
      </c>
      <c r="D17" s="16">
        <v>54</v>
      </c>
      <c r="E17" s="16">
        <v>66</v>
      </c>
      <c r="F17" s="16">
        <v>66</v>
      </c>
      <c r="G17" s="16">
        <v>132</v>
      </c>
      <c r="H17" s="16">
        <v>324</v>
      </c>
    </row>
    <row r="18" spans="1:8" x14ac:dyDescent="0.45">
      <c r="A18" s="15" t="s">
        <v>316</v>
      </c>
      <c r="B18" s="16">
        <v>68</v>
      </c>
      <c r="C18" s="16">
        <v>48</v>
      </c>
      <c r="D18" s="16">
        <v>82</v>
      </c>
      <c r="E18" s="16">
        <v>63</v>
      </c>
      <c r="F18" s="16">
        <v>75</v>
      </c>
      <c r="G18" s="16">
        <v>138</v>
      </c>
      <c r="H18" s="16">
        <v>336</v>
      </c>
    </row>
    <row r="19" spans="1:8" x14ac:dyDescent="0.45">
      <c r="A19" s="15" t="s">
        <v>317</v>
      </c>
      <c r="B19" s="16">
        <v>88</v>
      </c>
      <c r="C19" s="16">
        <v>94</v>
      </c>
      <c r="D19" s="16">
        <v>72</v>
      </c>
      <c r="E19" s="16">
        <v>59</v>
      </c>
      <c r="F19" s="16">
        <v>54</v>
      </c>
      <c r="G19" s="16">
        <v>113</v>
      </c>
      <c r="H19" s="16">
        <v>367</v>
      </c>
    </row>
    <row r="20" spans="1:8" x14ac:dyDescent="0.45">
      <c r="A20" s="15" t="s">
        <v>318</v>
      </c>
      <c r="B20" s="16">
        <v>84</v>
      </c>
      <c r="C20" s="16">
        <v>89</v>
      </c>
      <c r="D20" s="16">
        <v>67</v>
      </c>
      <c r="E20" s="16">
        <v>68</v>
      </c>
      <c r="F20" s="16">
        <v>63</v>
      </c>
      <c r="G20" s="16">
        <v>131</v>
      </c>
      <c r="H20" s="16">
        <v>371</v>
      </c>
    </row>
    <row r="21" spans="1:8" x14ac:dyDescent="0.45">
      <c r="A21" s="15" t="s">
        <v>319</v>
      </c>
      <c r="B21" s="16">
        <v>74</v>
      </c>
      <c r="C21" s="16">
        <v>88</v>
      </c>
      <c r="D21" s="16">
        <v>74</v>
      </c>
      <c r="E21" s="16">
        <v>61</v>
      </c>
      <c r="F21" s="16">
        <v>48</v>
      </c>
      <c r="G21" s="16">
        <v>109</v>
      </c>
      <c r="H21" s="16">
        <v>345</v>
      </c>
    </row>
    <row r="22" spans="1:8" x14ac:dyDescent="0.45">
      <c r="A22" s="15" t="s">
        <v>320</v>
      </c>
      <c r="B22" s="16">
        <v>62</v>
      </c>
      <c r="C22" s="16">
        <v>62</v>
      </c>
      <c r="D22" s="16">
        <v>67</v>
      </c>
      <c r="E22" s="16">
        <v>61</v>
      </c>
      <c r="F22" s="16">
        <v>60</v>
      </c>
      <c r="G22" s="16">
        <v>121</v>
      </c>
      <c r="H22" s="16">
        <v>312</v>
      </c>
    </row>
    <row r="23" spans="1:8" x14ac:dyDescent="0.45">
      <c r="A23" s="15" t="s">
        <v>321</v>
      </c>
      <c r="B23" s="16">
        <v>66</v>
      </c>
      <c r="C23" s="16">
        <v>42</v>
      </c>
      <c r="D23" s="16">
        <v>45</v>
      </c>
      <c r="E23" s="16">
        <v>53</v>
      </c>
      <c r="F23" s="16">
        <v>57</v>
      </c>
      <c r="G23" s="16">
        <v>110</v>
      </c>
      <c r="H23" s="16">
        <v>263</v>
      </c>
    </row>
    <row r="24" spans="1:8" x14ac:dyDescent="0.45">
      <c r="A24" s="15" t="s">
        <v>322</v>
      </c>
      <c r="B24" s="16">
        <v>74</v>
      </c>
      <c r="C24" s="16">
        <v>77</v>
      </c>
      <c r="D24" s="16">
        <v>73</v>
      </c>
      <c r="E24" s="16">
        <v>75</v>
      </c>
      <c r="F24" s="16">
        <v>66</v>
      </c>
      <c r="G24" s="16">
        <v>141</v>
      </c>
      <c r="H24" s="16">
        <v>365</v>
      </c>
    </row>
    <row r="25" spans="1:8" x14ac:dyDescent="0.45">
      <c r="A25" s="15" t="s">
        <v>323</v>
      </c>
      <c r="B25" s="16">
        <v>70</v>
      </c>
      <c r="C25" s="16">
        <v>44</v>
      </c>
      <c r="D25" s="16">
        <v>73</v>
      </c>
      <c r="E25" s="16">
        <v>65</v>
      </c>
      <c r="F25" s="16">
        <v>66</v>
      </c>
      <c r="G25" s="16">
        <v>131</v>
      </c>
      <c r="H25" s="16">
        <v>318</v>
      </c>
    </row>
    <row r="26" spans="1:8" x14ac:dyDescent="0.45">
      <c r="A26" s="15" t="s">
        <v>324</v>
      </c>
      <c r="B26" s="16">
        <v>82</v>
      </c>
      <c r="C26" s="16">
        <v>77</v>
      </c>
      <c r="D26" s="16">
        <v>63</v>
      </c>
      <c r="E26" s="16">
        <v>51</v>
      </c>
      <c r="F26" s="16">
        <v>71</v>
      </c>
      <c r="G26" s="16">
        <v>122</v>
      </c>
      <c r="H26" s="16">
        <v>344</v>
      </c>
    </row>
    <row r="27" spans="1:8" x14ac:dyDescent="0.45">
      <c r="A27" s="15" t="s">
        <v>325</v>
      </c>
      <c r="B27" s="16">
        <v>74</v>
      </c>
      <c r="C27" s="16">
        <v>94</v>
      </c>
      <c r="D27" s="16">
        <v>68</v>
      </c>
      <c r="E27" s="16">
        <v>57</v>
      </c>
      <c r="F27" s="16">
        <v>66</v>
      </c>
      <c r="G27" s="16">
        <v>123</v>
      </c>
      <c r="H27" s="16">
        <v>359</v>
      </c>
    </row>
    <row r="28" spans="1:8" x14ac:dyDescent="0.45">
      <c r="A28" s="15" t="s">
        <v>326</v>
      </c>
      <c r="B28" s="16">
        <v>66</v>
      </c>
      <c r="C28" s="16">
        <v>73</v>
      </c>
      <c r="D28" s="16">
        <v>50</v>
      </c>
      <c r="E28" s="16">
        <v>0</v>
      </c>
      <c r="F28" s="16">
        <v>0</v>
      </c>
      <c r="G28" s="16">
        <v>0</v>
      </c>
      <c r="H28" s="16">
        <v>189</v>
      </c>
    </row>
    <row r="29" spans="1:8" x14ac:dyDescent="0.45">
      <c r="A29" s="15" t="s">
        <v>327</v>
      </c>
      <c r="B29" s="16">
        <v>74</v>
      </c>
      <c r="C29" s="16">
        <v>71</v>
      </c>
      <c r="D29" s="16">
        <v>65</v>
      </c>
      <c r="E29" s="16">
        <v>54</v>
      </c>
      <c r="F29" s="16">
        <v>75</v>
      </c>
      <c r="G29" s="16">
        <v>129</v>
      </c>
      <c r="H29" s="16">
        <v>339</v>
      </c>
    </row>
    <row r="30" spans="1:8" x14ac:dyDescent="0.45">
      <c r="A30" s="15" t="s">
        <v>328</v>
      </c>
      <c r="B30" s="16">
        <v>62</v>
      </c>
      <c r="C30" s="16">
        <v>52</v>
      </c>
      <c r="D30" s="16">
        <v>71</v>
      </c>
      <c r="E30" s="16">
        <v>65</v>
      </c>
      <c r="F30" s="16">
        <v>57</v>
      </c>
      <c r="G30" s="16">
        <v>122</v>
      </c>
      <c r="H30" s="16">
        <v>307</v>
      </c>
    </row>
    <row r="31" spans="1:8" x14ac:dyDescent="0.45">
      <c r="A31" s="15" t="s">
        <v>329</v>
      </c>
      <c r="B31" s="16">
        <v>78</v>
      </c>
      <c r="C31" s="16">
        <v>71</v>
      </c>
      <c r="D31" s="16">
        <v>58</v>
      </c>
      <c r="E31" s="16">
        <v>48</v>
      </c>
      <c r="F31" s="16">
        <v>63</v>
      </c>
      <c r="G31" s="16">
        <v>111</v>
      </c>
      <c r="H31" s="16">
        <v>318</v>
      </c>
    </row>
    <row r="32" spans="1:8" x14ac:dyDescent="0.45">
      <c r="A32" s="15" t="s">
        <v>330</v>
      </c>
      <c r="B32" s="16">
        <v>72</v>
      </c>
      <c r="C32" s="16">
        <v>41</v>
      </c>
      <c r="D32" s="16">
        <v>71</v>
      </c>
      <c r="E32" s="16">
        <v>68</v>
      </c>
      <c r="F32" s="16">
        <v>66</v>
      </c>
      <c r="G32" s="16">
        <v>134</v>
      </c>
      <c r="H32" s="16">
        <v>318</v>
      </c>
    </row>
    <row r="34" spans="1:1" x14ac:dyDescent="0.45">
      <c r="A34" s="14"/>
    </row>
  </sheetData>
  <sheetProtection formatCells="0" formatColumns="0" formatRows="0" insertColumns="0" insertRows="0" insertHyperlinks="0" deleteColumns="0" deleteRows="0" sort="0" autoFilter="0" pivotTables="0"/>
  <mergeCells count="1">
    <mergeCell ref="B1:H1"/>
  </mergeCells>
  <phoneticPr fontId="10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6"/>
  <sheetViews>
    <sheetView zoomScale="130" zoomScaleNormal="130" workbookViewId="0">
      <pane xSplit="1" ySplit="1" topLeftCell="B2" activePane="bottomRight" state="frozen"/>
      <selection pane="topRight"/>
      <selection pane="bottomLeft"/>
      <selection pane="bottomRight" activeCell="D5" sqref="D5"/>
    </sheetView>
  </sheetViews>
  <sheetFormatPr defaultColWidth="15.84375" defaultRowHeight="14.5" x14ac:dyDescent="0.45"/>
  <cols>
    <col min="1" max="1" width="5.69140625" style="1" bestFit="1" customWidth="1"/>
    <col min="2" max="4" width="10" style="1" bestFit="1" customWidth="1"/>
    <col min="5" max="5" width="12.3046875" style="1" bestFit="1" customWidth="1"/>
    <col min="6" max="6" width="9.61328125" style="1" bestFit="1" customWidth="1"/>
    <col min="7" max="7" width="14.15234375" style="1" bestFit="1" customWidth="1"/>
    <col min="8" max="8" width="10" style="1" bestFit="1" customWidth="1"/>
    <col min="9" max="16384" width="15.84375" style="1"/>
  </cols>
  <sheetData>
    <row r="1" spans="1:8" x14ac:dyDescent="0.45">
      <c r="A1" s="2"/>
      <c r="B1" s="71" t="s">
        <v>380</v>
      </c>
      <c r="C1" s="31"/>
      <c r="D1" s="31"/>
      <c r="E1" s="31"/>
      <c r="F1" s="31"/>
      <c r="G1" s="31"/>
      <c r="H1" s="31"/>
    </row>
    <row r="2" spans="1:8" x14ac:dyDescent="0.45">
      <c r="A2" s="6" t="s">
        <v>0</v>
      </c>
      <c r="B2" s="61" t="s">
        <v>381</v>
      </c>
      <c r="C2" s="62" t="s">
        <v>382</v>
      </c>
      <c r="D2" s="62" t="s">
        <v>397</v>
      </c>
      <c r="E2" s="62" t="s">
        <v>398</v>
      </c>
      <c r="F2" s="64" t="s">
        <v>399</v>
      </c>
      <c r="G2" s="64" t="s">
        <v>387</v>
      </c>
      <c r="H2" s="62" t="s">
        <v>386</v>
      </c>
    </row>
    <row r="3" spans="1:8" x14ac:dyDescent="0.45">
      <c r="A3" s="6" t="s">
        <v>331</v>
      </c>
      <c r="B3" s="6">
        <v>76</v>
      </c>
      <c r="C3" s="6">
        <v>70</v>
      </c>
      <c r="D3" s="6">
        <v>61</v>
      </c>
      <c r="E3" s="6">
        <v>64</v>
      </c>
      <c r="F3" s="6">
        <v>42</v>
      </c>
      <c r="G3" s="15">
        <v>106</v>
      </c>
      <c r="H3" s="6">
        <f t="shared" ref="H3:H22" si="0">SUM(B3:F3)</f>
        <v>313</v>
      </c>
    </row>
    <row r="4" spans="1:8" x14ac:dyDescent="0.45">
      <c r="A4" s="6" t="s">
        <v>332</v>
      </c>
      <c r="B4" s="6">
        <v>66</v>
      </c>
      <c r="C4" s="6">
        <v>81</v>
      </c>
      <c r="D4" s="6">
        <v>43</v>
      </c>
      <c r="E4" s="6">
        <v>55</v>
      </c>
      <c r="F4" s="6">
        <v>36</v>
      </c>
      <c r="G4" s="15">
        <v>91</v>
      </c>
      <c r="H4" s="6">
        <f t="shared" si="0"/>
        <v>281</v>
      </c>
    </row>
    <row r="5" spans="1:8" x14ac:dyDescent="0.45">
      <c r="A5" s="6" t="s">
        <v>333</v>
      </c>
      <c r="B5" s="6">
        <v>58</v>
      </c>
      <c r="C5" s="6">
        <v>62</v>
      </c>
      <c r="D5" s="6">
        <v>40</v>
      </c>
      <c r="E5" s="6">
        <v>57</v>
      </c>
      <c r="F5" s="6">
        <v>42</v>
      </c>
      <c r="G5" s="15">
        <v>99</v>
      </c>
      <c r="H5" s="6">
        <f t="shared" si="0"/>
        <v>259</v>
      </c>
    </row>
    <row r="6" spans="1:8" x14ac:dyDescent="0.45">
      <c r="A6" s="6" t="s">
        <v>334</v>
      </c>
      <c r="B6" s="6">
        <v>68</v>
      </c>
      <c r="C6" s="6">
        <v>81</v>
      </c>
      <c r="D6" s="6">
        <v>33</v>
      </c>
      <c r="E6" s="6">
        <v>60</v>
      </c>
      <c r="F6" s="6">
        <v>40</v>
      </c>
      <c r="G6" s="15">
        <v>100</v>
      </c>
      <c r="H6" s="6">
        <f t="shared" si="0"/>
        <v>282</v>
      </c>
    </row>
    <row r="7" spans="1:8" x14ac:dyDescent="0.45">
      <c r="A7" s="6" t="s">
        <v>335</v>
      </c>
      <c r="B7" s="6">
        <v>74</v>
      </c>
      <c r="C7" s="6">
        <v>55</v>
      </c>
      <c r="D7" s="6">
        <v>52</v>
      </c>
      <c r="E7" s="6">
        <v>72</v>
      </c>
      <c r="F7" s="6">
        <v>38</v>
      </c>
      <c r="G7" s="15">
        <v>110</v>
      </c>
      <c r="H7" s="6">
        <f t="shared" si="0"/>
        <v>291</v>
      </c>
    </row>
    <row r="8" spans="1:8" x14ac:dyDescent="0.45">
      <c r="A8" s="6" t="s">
        <v>336</v>
      </c>
      <c r="B8" s="6">
        <v>78</v>
      </c>
      <c r="C8" s="6">
        <v>75</v>
      </c>
      <c r="D8" s="6">
        <v>41</v>
      </c>
      <c r="E8" s="6">
        <v>39</v>
      </c>
      <c r="F8" s="6">
        <v>38</v>
      </c>
      <c r="G8" s="15">
        <v>77</v>
      </c>
      <c r="H8" s="6">
        <f t="shared" si="0"/>
        <v>271</v>
      </c>
    </row>
    <row r="9" spans="1:8" x14ac:dyDescent="0.45">
      <c r="A9" s="6" t="s">
        <v>337</v>
      </c>
      <c r="B9" s="6">
        <v>80</v>
      </c>
      <c r="C9" s="6">
        <v>69</v>
      </c>
      <c r="D9" s="6">
        <v>39</v>
      </c>
      <c r="E9" s="6">
        <v>58</v>
      </c>
      <c r="F9" s="6">
        <v>34</v>
      </c>
      <c r="G9" s="15">
        <v>92</v>
      </c>
      <c r="H9" s="6">
        <f t="shared" si="0"/>
        <v>280</v>
      </c>
    </row>
    <row r="10" spans="1:8" x14ac:dyDescent="0.45">
      <c r="A10" s="6" t="s">
        <v>338</v>
      </c>
      <c r="B10" s="6">
        <v>62</v>
      </c>
      <c r="C10" s="6">
        <v>74</v>
      </c>
      <c r="D10" s="6">
        <v>51</v>
      </c>
      <c r="E10" s="6">
        <v>50</v>
      </c>
      <c r="F10" s="6">
        <v>40</v>
      </c>
      <c r="G10" s="15">
        <v>90</v>
      </c>
      <c r="H10" s="6">
        <f t="shared" si="0"/>
        <v>277</v>
      </c>
    </row>
    <row r="11" spans="1:8" x14ac:dyDescent="0.45">
      <c r="A11" s="6" t="s">
        <v>339</v>
      </c>
      <c r="B11" s="6">
        <v>84</v>
      </c>
      <c r="C11" s="6">
        <v>80</v>
      </c>
      <c r="D11" s="6">
        <v>44</v>
      </c>
      <c r="E11" s="6">
        <v>55</v>
      </c>
      <c r="F11" s="6">
        <v>42</v>
      </c>
      <c r="G11" s="15">
        <v>97</v>
      </c>
      <c r="H11" s="6">
        <f t="shared" si="0"/>
        <v>305</v>
      </c>
    </row>
    <row r="12" spans="1:8" x14ac:dyDescent="0.45">
      <c r="A12" s="6" t="s">
        <v>340</v>
      </c>
      <c r="B12" s="6">
        <v>56</v>
      </c>
      <c r="C12" s="6">
        <v>30</v>
      </c>
      <c r="D12" s="6">
        <v>35</v>
      </c>
      <c r="E12" s="6">
        <v>48</v>
      </c>
      <c r="F12" s="6">
        <v>30</v>
      </c>
      <c r="G12" s="15">
        <v>78</v>
      </c>
      <c r="H12" s="6">
        <f t="shared" si="0"/>
        <v>199</v>
      </c>
    </row>
    <row r="13" spans="1:8" x14ac:dyDescent="0.45">
      <c r="A13" s="6" t="s">
        <v>341</v>
      </c>
      <c r="B13" s="6">
        <v>62</v>
      </c>
      <c r="C13" s="6">
        <v>77</v>
      </c>
      <c r="D13" s="6">
        <v>58</v>
      </c>
      <c r="E13" s="6">
        <v>78</v>
      </c>
      <c r="F13" s="6">
        <v>42</v>
      </c>
      <c r="G13" s="15">
        <v>120</v>
      </c>
      <c r="H13" s="6">
        <f t="shared" si="0"/>
        <v>317</v>
      </c>
    </row>
    <row r="14" spans="1:8" x14ac:dyDescent="0.45">
      <c r="A14" s="6" t="s">
        <v>342</v>
      </c>
      <c r="B14" s="6">
        <v>66</v>
      </c>
      <c r="C14" s="6">
        <v>84</v>
      </c>
      <c r="D14" s="6">
        <v>49</v>
      </c>
      <c r="E14" s="6">
        <v>58</v>
      </c>
      <c r="F14" s="6">
        <v>42</v>
      </c>
      <c r="G14" s="15">
        <v>100</v>
      </c>
      <c r="H14" s="6">
        <f t="shared" si="0"/>
        <v>299</v>
      </c>
    </row>
    <row r="15" spans="1:8" x14ac:dyDescent="0.45">
      <c r="A15" s="6" t="s">
        <v>343</v>
      </c>
      <c r="B15" s="6">
        <v>40</v>
      </c>
      <c r="C15" s="6">
        <v>29</v>
      </c>
      <c r="D15" s="6">
        <v>40</v>
      </c>
      <c r="E15" s="6">
        <v>48</v>
      </c>
      <c r="F15" s="6">
        <v>34</v>
      </c>
      <c r="G15" s="15">
        <v>82</v>
      </c>
      <c r="H15" s="6">
        <f t="shared" si="0"/>
        <v>191</v>
      </c>
    </row>
    <row r="16" spans="1:8" x14ac:dyDescent="0.45">
      <c r="A16" s="6" t="s">
        <v>344</v>
      </c>
      <c r="B16" s="6">
        <v>54</v>
      </c>
      <c r="C16" s="6">
        <v>67</v>
      </c>
      <c r="D16" s="6">
        <v>44</v>
      </c>
      <c r="E16" s="6">
        <v>67</v>
      </c>
      <c r="F16" s="6">
        <v>34</v>
      </c>
      <c r="G16" s="15">
        <v>101</v>
      </c>
      <c r="H16" s="6">
        <f t="shared" si="0"/>
        <v>266</v>
      </c>
    </row>
    <row r="17" spans="1:8" x14ac:dyDescent="0.45">
      <c r="A17" s="6" t="s">
        <v>345</v>
      </c>
      <c r="B17" s="6">
        <v>74</v>
      </c>
      <c r="C17" s="6">
        <v>85</v>
      </c>
      <c r="D17" s="6">
        <v>47</v>
      </c>
      <c r="E17" s="6">
        <v>51</v>
      </c>
      <c r="F17" s="6">
        <v>44</v>
      </c>
      <c r="G17" s="15">
        <v>95</v>
      </c>
      <c r="H17" s="6">
        <f t="shared" si="0"/>
        <v>301</v>
      </c>
    </row>
    <row r="18" spans="1:8" x14ac:dyDescent="0.45">
      <c r="A18" s="6" t="s">
        <v>346</v>
      </c>
      <c r="B18" s="6">
        <v>48</v>
      </c>
      <c r="C18" s="6">
        <v>26</v>
      </c>
      <c r="D18" s="6">
        <v>14</v>
      </c>
      <c r="E18" s="6">
        <v>58</v>
      </c>
      <c r="F18" s="6">
        <v>38</v>
      </c>
      <c r="G18" s="15">
        <v>96</v>
      </c>
      <c r="H18" s="6">
        <f t="shared" si="0"/>
        <v>184</v>
      </c>
    </row>
    <row r="19" spans="1:8" x14ac:dyDescent="0.45">
      <c r="A19" s="6" t="s">
        <v>347</v>
      </c>
      <c r="B19" s="6">
        <v>72</v>
      </c>
      <c r="C19" s="6">
        <v>73</v>
      </c>
      <c r="D19" s="6">
        <v>77</v>
      </c>
      <c r="E19" s="6">
        <v>62</v>
      </c>
      <c r="F19" s="6">
        <v>48</v>
      </c>
      <c r="G19" s="15">
        <v>110</v>
      </c>
      <c r="H19" s="6">
        <f t="shared" si="0"/>
        <v>332</v>
      </c>
    </row>
    <row r="20" spans="1:8" x14ac:dyDescent="0.45">
      <c r="A20" s="6" t="s">
        <v>348</v>
      </c>
      <c r="B20" s="6">
        <v>76</v>
      </c>
      <c r="C20" s="6">
        <v>77</v>
      </c>
      <c r="D20" s="6">
        <v>72</v>
      </c>
      <c r="E20" s="6">
        <v>46</v>
      </c>
      <c r="F20" s="6">
        <v>40</v>
      </c>
      <c r="G20" s="15">
        <v>86</v>
      </c>
      <c r="H20" s="6">
        <f t="shared" si="0"/>
        <v>311</v>
      </c>
    </row>
    <row r="21" spans="1:8" x14ac:dyDescent="0.45">
      <c r="A21" s="6" t="s">
        <v>349</v>
      </c>
      <c r="B21" s="6">
        <v>68</v>
      </c>
      <c r="C21" s="6">
        <v>80</v>
      </c>
      <c r="D21" s="6">
        <v>38</v>
      </c>
      <c r="E21" s="6">
        <v>65</v>
      </c>
      <c r="F21" s="6">
        <v>38</v>
      </c>
      <c r="G21" s="15">
        <v>103</v>
      </c>
      <c r="H21" s="6">
        <f t="shared" si="0"/>
        <v>289</v>
      </c>
    </row>
    <row r="22" spans="1:8" x14ac:dyDescent="0.45">
      <c r="A22" s="6" t="s">
        <v>350</v>
      </c>
      <c r="B22" s="6">
        <v>68</v>
      </c>
      <c r="C22" s="6">
        <v>83</v>
      </c>
      <c r="D22" s="6">
        <v>40</v>
      </c>
      <c r="E22" s="6">
        <v>66</v>
      </c>
      <c r="F22" s="6">
        <v>42</v>
      </c>
      <c r="G22" s="15">
        <v>108</v>
      </c>
      <c r="H22" s="6">
        <f t="shared" si="0"/>
        <v>299</v>
      </c>
    </row>
    <row r="23" spans="1:8" x14ac:dyDescent="0.45">
      <c r="A23" s="6"/>
      <c r="B23" s="6"/>
      <c r="C23" s="6"/>
      <c r="D23" s="6"/>
      <c r="E23" s="6"/>
      <c r="F23" s="6"/>
      <c r="G23" s="15"/>
      <c r="H23" s="6"/>
    </row>
    <row r="27" spans="1:8" x14ac:dyDescent="0.45">
      <c r="A27" s="6"/>
      <c r="B27" s="6"/>
      <c r="C27" s="6"/>
      <c r="D27" s="6"/>
      <c r="E27" s="6"/>
      <c r="F27" s="6"/>
      <c r="G27" s="15"/>
      <c r="H27" s="6"/>
    </row>
    <row r="28" spans="1:8" x14ac:dyDescent="0.45">
      <c r="A28" s="6"/>
      <c r="B28" s="6"/>
      <c r="C28" s="6"/>
      <c r="D28" s="6"/>
      <c r="E28" s="6"/>
      <c r="F28" s="6"/>
      <c r="G28" s="15"/>
      <c r="H28" s="6"/>
    </row>
    <row r="29" spans="1:8" x14ac:dyDescent="0.45">
      <c r="A29" s="6"/>
      <c r="B29" s="6"/>
      <c r="C29" s="6"/>
      <c r="D29" s="6"/>
      <c r="E29" s="6"/>
      <c r="F29" s="6"/>
      <c r="G29" s="15"/>
      <c r="H29" s="6"/>
    </row>
    <row r="33" spans="1:8" x14ac:dyDescent="0.45">
      <c r="A33" s="6"/>
      <c r="B33" s="6"/>
      <c r="C33" s="6"/>
      <c r="D33" s="6"/>
      <c r="E33" s="6"/>
      <c r="F33" s="6"/>
      <c r="G33" s="15"/>
      <c r="H33" s="6"/>
    </row>
    <row r="34" spans="1:8" x14ac:dyDescent="0.45">
      <c r="A34" s="6"/>
      <c r="B34" s="6"/>
      <c r="C34" s="6"/>
      <c r="D34" s="6"/>
      <c r="E34" s="6"/>
      <c r="F34" s="6"/>
      <c r="G34" s="15"/>
      <c r="H34" s="6"/>
    </row>
    <row r="35" spans="1:8" x14ac:dyDescent="0.45">
      <c r="A35" s="6"/>
      <c r="B35" s="6"/>
      <c r="C35" s="6"/>
      <c r="D35" s="6"/>
      <c r="E35" s="6"/>
      <c r="F35" s="6"/>
      <c r="G35" s="15"/>
      <c r="H35" s="6"/>
    </row>
    <row r="36" spans="1:8" x14ac:dyDescent="0.45">
      <c r="A36" s="6"/>
      <c r="B36" s="6"/>
      <c r="C36" s="6"/>
      <c r="D36" s="6"/>
      <c r="E36" s="6"/>
      <c r="F36" s="6"/>
      <c r="G36" s="15"/>
      <c r="H36" s="6"/>
    </row>
    <row r="37" spans="1:8" x14ac:dyDescent="0.45">
      <c r="A37" s="6"/>
      <c r="B37" s="6"/>
      <c r="C37" s="6"/>
      <c r="D37" s="6"/>
      <c r="E37" s="6"/>
      <c r="F37" s="6"/>
      <c r="G37" s="15"/>
      <c r="H37" s="6"/>
    </row>
    <row r="38" spans="1:8" x14ac:dyDescent="0.45">
      <c r="A38" s="6"/>
      <c r="B38" s="6"/>
      <c r="C38" s="6"/>
      <c r="D38" s="6"/>
      <c r="E38" s="6"/>
      <c r="F38" s="6"/>
      <c r="G38" s="15"/>
      <c r="H38" s="6"/>
    </row>
    <row r="39" spans="1:8" x14ac:dyDescent="0.45">
      <c r="A39" s="6"/>
      <c r="B39" s="6"/>
      <c r="C39" s="6"/>
      <c r="D39" s="6"/>
      <c r="E39" s="6"/>
      <c r="F39" s="6"/>
      <c r="G39" s="15"/>
      <c r="H39" s="6"/>
    </row>
    <row r="41" spans="1:8" x14ac:dyDescent="0.45">
      <c r="A41" s="6"/>
      <c r="B41" s="6"/>
      <c r="C41" s="6"/>
      <c r="D41" s="6"/>
      <c r="E41" s="6"/>
      <c r="F41" s="6"/>
      <c r="G41" s="15"/>
      <c r="H41" s="6"/>
    </row>
    <row r="42" spans="1:8" x14ac:dyDescent="0.45">
      <c r="A42" s="6"/>
      <c r="B42" s="6"/>
      <c r="C42" s="6"/>
      <c r="D42" s="6"/>
      <c r="E42" s="6"/>
      <c r="F42" s="6"/>
      <c r="G42" s="15"/>
      <c r="H42" s="6"/>
    </row>
    <row r="44" spans="1:8" x14ac:dyDescent="0.45">
      <c r="A44" s="6"/>
      <c r="B44" s="6"/>
      <c r="C44" s="6"/>
      <c r="D44" s="6"/>
      <c r="E44" s="6"/>
      <c r="F44" s="6"/>
      <c r="G44" s="15"/>
      <c r="H44" s="6"/>
    </row>
    <row r="45" spans="1:8" x14ac:dyDescent="0.45">
      <c r="A45" s="6"/>
      <c r="B45" s="6"/>
      <c r="C45" s="6"/>
      <c r="D45" s="6"/>
      <c r="E45" s="6"/>
      <c r="F45" s="6"/>
      <c r="G45" s="15"/>
      <c r="H45" s="6"/>
    </row>
    <row r="46" spans="1:8" x14ac:dyDescent="0.45">
      <c r="A46" s="6"/>
      <c r="B46" s="6"/>
      <c r="C46" s="6"/>
      <c r="D46" s="6"/>
      <c r="E46" s="6"/>
      <c r="F46" s="6"/>
      <c r="G46" s="15"/>
      <c r="H46" s="6"/>
    </row>
    <row r="49" spans="1:8" x14ac:dyDescent="0.45">
      <c r="A49" s="6"/>
      <c r="B49" s="6"/>
      <c r="C49" s="6"/>
      <c r="D49" s="6"/>
      <c r="E49" s="6"/>
      <c r="F49" s="6"/>
      <c r="G49" s="15"/>
      <c r="H49" s="6"/>
    </row>
    <row r="50" spans="1:8" x14ac:dyDescent="0.45">
      <c r="A50" s="6"/>
      <c r="B50" s="6"/>
      <c r="C50" s="6"/>
      <c r="D50" s="6"/>
      <c r="E50" s="6"/>
      <c r="F50" s="6"/>
      <c r="G50" s="15"/>
      <c r="H50" s="6"/>
    </row>
    <row r="52" spans="1:8" x14ac:dyDescent="0.45">
      <c r="A52" s="6"/>
      <c r="B52" s="6"/>
      <c r="C52" s="6"/>
      <c r="D52" s="6"/>
      <c r="E52" s="6"/>
      <c r="F52" s="6"/>
      <c r="G52" s="15"/>
      <c r="H52" s="6"/>
    </row>
    <row r="53" spans="1:8" x14ac:dyDescent="0.45">
      <c r="A53" s="6"/>
      <c r="B53" s="6"/>
      <c r="C53" s="6"/>
      <c r="D53" s="6"/>
      <c r="E53" s="6"/>
      <c r="F53" s="6"/>
      <c r="G53" s="15"/>
      <c r="H53" s="6"/>
    </row>
    <row r="56" spans="1:8" x14ac:dyDescent="0.45">
      <c r="A56" s="12"/>
    </row>
  </sheetData>
  <sheetProtection formatCells="0" formatColumns="0" formatRows="0" insertColumns="0" insertRows="0" insertHyperlinks="0" deleteColumns="0" deleteRows="0" sort="0" autoFilter="0" pivotTables="0"/>
  <mergeCells count="1">
    <mergeCell ref="B1:H1"/>
  </mergeCells>
  <phoneticPr fontId="10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9" sqref="C9"/>
    </sheetView>
  </sheetViews>
  <sheetFormatPr defaultColWidth="11.3046875" defaultRowHeight="16.5" x14ac:dyDescent="0.45"/>
  <cols>
    <col min="1" max="1" width="6.3046875" style="1" bestFit="1" customWidth="1"/>
    <col min="2" max="2" width="11.3046875" style="1"/>
    <col min="3" max="4" width="11.07421875" style="1" bestFit="1" customWidth="1"/>
    <col min="5" max="5" width="13.61328125" style="1" bestFit="1" customWidth="1"/>
    <col min="6" max="6" width="9.53515625" style="1" bestFit="1" customWidth="1"/>
    <col min="7" max="7" width="14.07421875" style="1" bestFit="1" customWidth="1"/>
    <col min="8" max="8" width="11.07421875" style="1" bestFit="1" customWidth="1"/>
    <col min="9" max="16384" width="11.3046875" style="1"/>
  </cols>
  <sheetData>
    <row r="1" spans="1:8" x14ac:dyDescent="0.45">
      <c r="A1" s="2"/>
      <c r="B1" s="88" t="s">
        <v>380</v>
      </c>
      <c r="C1" s="34"/>
      <c r="D1" s="34"/>
      <c r="E1" s="34"/>
      <c r="F1" s="34"/>
      <c r="G1" s="34"/>
      <c r="H1" s="34"/>
    </row>
    <row r="2" spans="1:8" x14ac:dyDescent="0.45">
      <c r="A2" s="6" t="s">
        <v>0</v>
      </c>
      <c r="B2" s="89" t="s">
        <v>381</v>
      </c>
      <c r="C2" s="90" t="s">
        <v>382</v>
      </c>
      <c r="D2" s="91" t="s">
        <v>388</v>
      </c>
      <c r="E2" s="92" t="s">
        <v>398</v>
      </c>
      <c r="F2" s="93" t="s">
        <v>400</v>
      </c>
      <c r="G2" s="94" t="s">
        <v>387</v>
      </c>
      <c r="H2" s="95" t="s">
        <v>396</v>
      </c>
    </row>
    <row r="3" spans="1:8" x14ac:dyDescent="0.45">
      <c r="A3" s="7" t="s">
        <v>351</v>
      </c>
      <c r="B3" s="4">
        <v>78</v>
      </c>
      <c r="C3" s="4">
        <v>87</v>
      </c>
      <c r="D3" s="4">
        <v>96</v>
      </c>
      <c r="E3" s="8">
        <v>68</v>
      </c>
      <c r="F3" s="8">
        <v>44</v>
      </c>
      <c r="G3" s="9">
        <f t="shared" ref="G3:G22" si="0">SUM(E3:F3)</f>
        <v>112</v>
      </c>
      <c r="H3" s="9">
        <f t="shared" ref="H3:H22" si="1">SUM(B3:F3)</f>
        <v>373</v>
      </c>
    </row>
    <row r="4" spans="1:8" x14ac:dyDescent="0.45">
      <c r="A4" s="7" t="s">
        <v>352</v>
      </c>
      <c r="B4" s="8">
        <v>64</v>
      </c>
      <c r="C4" s="8">
        <v>86</v>
      </c>
      <c r="D4" s="8">
        <v>94</v>
      </c>
      <c r="E4" s="8">
        <v>58</v>
      </c>
      <c r="F4" s="8">
        <v>46</v>
      </c>
      <c r="G4" s="9">
        <f t="shared" si="0"/>
        <v>104</v>
      </c>
      <c r="H4" s="9">
        <f t="shared" si="1"/>
        <v>348</v>
      </c>
    </row>
    <row r="5" spans="1:8" x14ac:dyDescent="0.45">
      <c r="A5" s="7" t="s">
        <v>353</v>
      </c>
      <c r="B5" s="8">
        <v>58</v>
      </c>
      <c r="C5" s="8">
        <v>31</v>
      </c>
      <c r="D5" s="8">
        <v>51</v>
      </c>
      <c r="E5" s="8">
        <v>60</v>
      </c>
      <c r="F5" s="8">
        <v>22</v>
      </c>
      <c r="G5" s="9">
        <f t="shared" si="0"/>
        <v>82</v>
      </c>
      <c r="H5" s="9">
        <f t="shared" si="1"/>
        <v>222</v>
      </c>
    </row>
    <row r="6" spans="1:8" x14ac:dyDescent="0.45">
      <c r="A6" s="7" t="s">
        <v>354</v>
      </c>
      <c r="B6" s="8">
        <v>74</v>
      </c>
      <c r="C6" s="8">
        <v>96</v>
      </c>
      <c r="D6" s="8">
        <v>90</v>
      </c>
      <c r="E6" s="8">
        <v>67</v>
      </c>
      <c r="F6" s="8">
        <v>42</v>
      </c>
      <c r="G6" s="9">
        <f t="shared" si="0"/>
        <v>109</v>
      </c>
      <c r="H6" s="9">
        <f t="shared" si="1"/>
        <v>369</v>
      </c>
    </row>
    <row r="7" spans="1:8" x14ac:dyDescent="0.45">
      <c r="A7" s="7" t="s">
        <v>355</v>
      </c>
      <c r="B7" s="8">
        <v>54</v>
      </c>
      <c r="C7" s="8">
        <v>56</v>
      </c>
      <c r="D7" s="8">
        <v>70</v>
      </c>
      <c r="E7" s="8">
        <v>71</v>
      </c>
      <c r="F7" s="8">
        <v>36</v>
      </c>
      <c r="G7" s="9">
        <f t="shared" si="0"/>
        <v>107</v>
      </c>
      <c r="H7" s="9">
        <f t="shared" si="1"/>
        <v>287</v>
      </c>
    </row>
    <row r="8" spans="1:8" x14ac:dyDescent="0.45">
      <c r="A8" s="7" t="s">
        <v>356</v>
      </c>
      <c r="B8" s="8">
        <v>60</v>
      </c>
      <c r="C8" s="8">
        <v>73</v>
      </c>
      <c r="D8" s="8">
        <v>84</v>
      </c>
      <c r="E8" s="8">
        <v>82</v>
      </c>
      <c r="F8" s="8">
        <v>48</v>
      </c>
      <c r="G8" s="9">
        <f t="shared" si="0"/>
        <v>130</v>
      </c>
      <c r="H8" s="9">
        <f t="shared" si="1"/>
        <v>347</v>
      </c>
    </row>
    <row r="9" spans="1:8" x14ac:dyDescent="0.45">
      <c r="A9" s="7" t="s">
        <v>357</v>
      </c>
      <c r="B9" s="8">
        <v>68</v>
      </c>
      <c r="C9" s="8">
        <v>62</v>
      </c>
      <c r="D9" s="8">
        <v>70</v>
      </c>
      <c r="E9" s="8">
        <v>62</v>
      </c>
      <c r="F9" s="8">
        <v>36</v>
      </c>
      <c r="G9" s="9">
        <f t="shared" si="0"/>
        <v>98</v>
      </c>
      <c r="H9" s="9">
        <f t="shared" si="1"/>
        <v>298</v>
      </c>
    </row>
    <row r="10" spans="1:8" x14ac:dyDescent="0.45">
      <c r="A10" s="7" t="s">
        <v>358</v>
      </c>
      <c r="B10" s="8">
        <v>78</v>
      </c>
      <c r="C10" s="8">
        <v>83</v>
      </c>
      <c r="D10" s="8">
        <v>92</v>
      </c>
      <c r="E10" s="8">
        <v>73</v>
      </c>
      <c r="F10" s="8">
        <v>44</v>
      </c>
      <c r="G10" s="9">
        <f t="shared" si="0"/>
        <v>117</v>
      </c>
      <c r="H10" s="9">
        <f t="shared" si="1"/>
        <v>370</v>
      </c>
    </row>
    <row r="11" spans="1:8" x14ac:dyDescent="0.45">
      <c r="A11" s="7" t="s">
        <v>359</v>
      </c>
      <c r="B11" s="8">
        <v>76</v>
      </c>
      <c r="C11" s="8">
        <v>95</v>
      </c>
      <c r="D11" s="8">
        <v>73</v>
      </c>
      <c r="E11" s="8">
        <v>72</v>
      </c>
      <c r="F11" s="8">
        <v>44</v>
      </c>
      <c r="G11" s="9">
        <f t="shared" si="0"/>
        <v>116</v>
      </c>
      <c r="H11" s="9">
        <f t="shared" si="1"/>
        <v>360</v>
      </c>
    </row>
    <row r="12" spans="1:8" x14ac:dyDescent="0.45">
      <c r="A12" s="7" t="s">
        <v>360</v>
      </c>
      <c r="B12" s="8">
        <v>72</v>
      </c>
      <c r="C12" s="8">
        <v>51</v>
      </c>
      <c r="D12" s="8">
        <v>84</v>
      </c>
      <c r="E12" s="8">
        <v>74</v>
      </c>
      <c r="F12" s="8">
        <v>28</v>
      </c>
      <c r="G12" s="9">
        <f t="shared" si="0"/>
        <v>102</v>
      </c>
      <c r="H12" s="9">
        <f t="shared" si="1"/>
        <v>309</v>
      </c>
    </row>
    <row r="13" spans="1:8" x14ac:dyDescent="0.45">
      <c r="A13" s="7" t="s">
        <v>361</v>
      </c>
      <c r="B13" s="8">
        <v>86</v>
      </c>
      <c r="C13" s="8">
        <v>92</v>
      </c>
      <c r="D13" s="8">
        <v>72</v>
      </c>
      <c r="E13" s="8">
        <v>79</v>
      </c>
      <c r="F13" s="8">
        <v>48</v>
      </c>
      <c r="G13" s="9">
        <f t="shared" si="0"/>
        <v>127</v>
      </c>
      <c r="H13" s="9">
        <f t="shared" si="1"/>
        <v>377</v>
      </c>
    </row>
    <row r="14" spans="1:8" x14ac:dyDescent="0.45">
      <c r="A14" s="7" t="s">
        <v>362</v>
      </c>
      <c r="B14" s="8">
        <v>80</v>
      </c>
      <c r="C14" s="8">
        <v>79</v>
      </c>
      <c r="D14" s="8">
        <v>72</v>
      </c>
      <c r="E14" s="8">
        <v>72</v>
      </c>
      <c r="F14" s="8">
        <v>32</v>
      </c>
      <c r="G14" s="9">
        <f t="shared" si="0"/>
        <v>104</v>
      </c>
      <c r="H14" s="9">
        <f t="shared" si="1"/>
        <v>335</v>
      </c>
    </row>
    <row r="15" spans="1:8" x14ac:dyDescent="0.45">
      <c r="A15" s="7" t="s">
        <v>363</v>
      </c>
      <c r="B15" s="8">
        <v>36</v>
      </c>
      <c r="C15" s="8">
        <v>24</v>
      </c>
      <c r="D15" s="8">
        <v>30</v>
      </c>
      <c r="E15" s="8">
        <v>42</v>
      </c>
      <c r="F15" s="8">
        <v>20</v>
      </c>
      <c r="G15" s="9">
        <f t="shared" si="0"/>
        <v>62</v>
      </c>
      <c r="H15" s="9">
        <f t="shared" si="1"/>
        <v>152</v>
      </c>
    </row>
    <row r="16" spans="1:8" x14ac:dyDescent="0.45">
      <c r="A16" s="7" t="s">
        <v>364</v>
      </c>
      <c r="B16" s="8">
        <v>64</v>
      </c>
      <c r="C16" s="8">
        <v>84</v>
      </c>
      <c r="D16" s="8">
        <v>75</v>
      </c>
      <c r="E16" s="8">
        <v>57</v>
      </c>
      <c r="F16" s="8">
        <v>38</v>
      </c>
      <c r="G16" s="9">
        <f t="shared" si="0"/>
        <v>95</v>
      </c>
      <c r="H16" s="9">
        <f t="shared" si="1"/>
        <v>318</v>
      </c>
    </row>
    <row r="17" spans="1:8" x14ac:dyDescent="0.45">
      <c r="A17" s="7" t="s">
        <v>365</v>
      </c>
      <c r="B17" s="8">
        <v>70</v>
      </c>
      <c r="C17" s="8">
        <v>96</v>
      </c>
      <c r="D17" s="8">
        <v>78</v>
      </c>
      <c r="E17" s="8">
        <v>69</v>
      </c>
      <c r="F17" s="8">
        <v>46</v>
      </c>
      <c r="G17" s="9">
        <f t="shared" si="0"/>
        <v>115</v>
      </c>
      <c r="H17" s="9">
        <f t="shared" si="1"/>
        <v>359</v>
      </c>
    </row>
    <row r="18" spans="1:8" x14ac:dyDescent="0.45">
      <c r="A18" s="7" t="s">
        <v>366</v>
      </c>
      <c r="B18" s="8">
        <v>68</v>
      </c>
      <c r="C18" s="8">
        <v>59</v>
      </c>
      <c r="D18" s="8">
        <v>69</v>
      </c>
      <c r="E18" s="8">
        <v>70</v>
      </c>
      <c r="F18" s="8">
        <v>40</v>
      </c>
      <c r="G18" s="9">
        <f t="shared" si="0"/>
        <v>110</v>
      </c>
      <c r="H18" s="9">
        <f t="shared" si="1"/>
        <v>306</v>
      </c>
    </row>
    <row r="19" spans="1:8" x14ac:dyDescent="0.45">
      <c r="A19" s="7" t="s">
        <v>367</v>
      </c>
      <c r="B19" s="8">
        <v>76</v>
      </c>
      <c r="C19" s="8">
        <v>79</v>
      </c>
      <c r="D19" s="8">
        <v>80</v>
      </c>
      <c r="E19" s="8">
        <v>79</v>
      </c>
      <c r="F19" s="8">
        <v>50</v>
      </c>
      <c r="G19" s="9">
        <f t="shared" si="0"/>
        <v>129</v>
      </c>
      <c r="H19" s="9">
        <f t="shared" si="1"/>
        <v>364</v>
      </c>
    </row>
    <row r="20" spans="1:8" x14ac:dyDescent="0.45">
      <c r="A20" s="7" t="s">
        <v>368</v>
      </c>
      <c r="B20" s="8">
        <v>76</v>
      </c>
      <c r="C20" s="8">
        <v>68</v>
      </c>
      <c r="D20" s="8">
        <v>67</v>
      </c>
      <c r="E20" s="8">
        <v>60</v>
      </c>
      <c r="F20" s="8">
        <v>44</v>
      </c>
      <c r="G20" s="9">
        <f t="shared" si="0"/>
        <v>104</v>
      </c>
      <c r="H20" s="9">
        <f t="shared" si="1"/>
        <v>315</v>
      </c>
    </row>
    <row r="21" spans="1:8" x14ac:dyDescent="0.45">
      <c r="A21" s="7" t="s">
        <v>369</v>
      </c>
      <c r="B21" s="8">
        <v>86</v>
      </c>
      <c r="C21" s="8">
        <v>90</v>
      </c>
      <c r="D21" s="8">
        <v>70</v>
      </c>
      <c r="E21" s="8">
        <v>64</v>
      </c>
      <c r="F21" s="8">
        <v>42</v>
      </c>
      <c r="G21" s="9">
        <f t="shared" si="0"/>
        <v>106</v>
      </c>
      <c r="H21" s="9">
        <f t="shared" si="1"/>
        <v>352</v>
      </c>
    </row>
    <row r="22" spans="1:8" x14ac:dyDescent="0.45">
      <c r="A22" s="5" t="s">
        <v>370</v>
      </c>
      <c r="B22" s="2">
        <v>84</v>
      </c>
      <c r="C22" s="2">
        <v>90</v>
      </c>
      <c r="D22" s="2">
        <v>87</v>
      </c>
      <c r="E22" s="8">
        <v>66</v>
      </c>
      <c r="F22" s="8">
        <v>38</v>
      </c>
      <c r="G22" s="9">
        <f t="shared" si="0"/>
        <v>104</v>
      </c>
      <c r="H22" s="9">
        <f t="shared" si="1"/>
        <v>365</v>
      </c>
    </row>
    <row r="23" spans="1:8" ht="14.5" x14ac:dyDescent="0.45"/>
    <row r="24" spans="1:8" ht="14.5" x14ac:dyDescent="0.45"/>
    <row r="25" spans="1:8" ht="14.5" x14ac:dyDescent="0.45"/>
    <row r="40" spans="2:8" ht="14.5" x14ac:dyDescent="0.45">
      <c r="B40" s="1">
        <f t="shared" ref="B40:H40" si="2">SUM(B3:B39)</f>
        <v>1408</v>
      </c>
      <c r="C40" s="1">
        <f t="shared" si="2"/>
        <v>1481</v>
      </c>
      <c r="D40" s="1">
        <f t="shared" si="2"/>
        <v>1504</v>
      </c>
      <c r="E40" s="1">
        <f t="shared" si="2"/>
        <v>1345</v>
      </c>
      <c r="F40" s="1">
        <f t="shared" si="2"/>
        <v>788</v>
      </c>
      <c r="G40" s="1">
        <f t="shared" si="2"/>
        <v>2133</v>
      </c>
      <c r="H40" s="1">
        <f t="shared" si="2"/>
        <v>6526</v>
      </c>
    </row>
    <row r="41" spans="2:8" ht="14.5" x14ac:dyDescent="0.45">
      <c r="B41" s="1">
        <f>AVERAGE(B3:B40)</f>
        <v>134.0952380952381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H1"/>
  </mergeCells>
  <phoneticPr fontId="1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</pixelator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8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9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0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1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3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2类1</vt:lpstr>
      <vt:lpstr>2类2</vt:lpstr>
      <vt:lpstr>3类1</vt:lpstr>
      <vt:lpstr>3类2</vt:lpstr>
      <vt:lpstr>3类3</vt:lpstr>
      <vt:lpstr>4类</vt:lpstr>
      <vt:lpstr>5类</vt:lpstr>
      <vt:lpstr>7类</vt:lpstr>
      <vt:lpstr>9类1</vt:lpstr>
      <vt:lpstr>9类2</vt:lpstr>
      <vt:lpstr>10类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迪楠 张</cp:lastModifiedBy>
  <dcterms:created xsi:type="dcterms:W3CDTF">2026-09-20T21:15:37Z</dcterms:created>
  <dcterms:modified xsi:type="dcterms:W3CDTF">2026-09-20T13:41:48Z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7318278EE73DCA8079DCAF6A992C587D_41</vt:lpwstr>
  </property>
  <property fmtid="{D5CDD505-2E9C-101B-9397-08002B2CF9AE}" pid="3" name="KSOProductBuildVer">
    <vt:lpwstr>2052-12.9.0.29121</vt:lpwstr>
  </property>
  <property fmtid="{D5CDD505-2E9C-101B-9397-08002B2CF9AE}" pid="4" name="CalculationRule">
    <vt:i4>1</vt:i4>
  </property>
</Properties>
</file>